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85835D22-4961-4132-B5C9-3791F2395D53}" xr6:coauthVersionLast="46" xr6:coauthVersionMax="46" xr10:uidLastSave="{00000000-0000-0000-0000-000000000000}"/>
  <bookViews>
    <workbookView xWindow="39570" yWindow="5340" windowWidth="7500" windowHeight="6000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template!$C$18:$S$20</definedName>
    <definedName name="ClientDetails">template!$H$1:$M$10</definedName>
    <definedName name="ClientDetailsExport">'informations enregistrées'!$C$1:$K$3</definedName>
    <definedName name="CodesTVA">template!$S$21:$S$47</definedName>
    <definedName name="DevisEtDMPRecap">template!$D$97:$D$101</definedName>
    <definedName name="DevisEtDMPs">template!$D$12:$D$16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template!$R$21:$R$47</definedName>
    <definedName name="MontantsFacturesAppeles">template!$H$105:$I$112</definedName>
    <definedName name="MontantsPayesSurFacturesAppeles">template!$J$105:$K$112</definedName>
    <definedName name="MontantsTTCAppeles">template!$N$51:$O$62</definedName>
    <definedName name="MontantsTVAAppeles">template!$L$51:$M$62</definedName>
    <definedName name="MontantTotalTVAN">template!$AA$7</definedName>
    <definedName name="MontantTotalTVAR">template!$AA$17</definedName>
    <definedName name="recapPosition">template!$C$91</definedName>
    <definedName name="RefsDevisEtDMP">template!$C$21:$C$47</definedName>
    <definedName name="RestantsDusSurFacturesAppeles">template!$R$105:$S$112</definedName>
    <definedName name="TauxTVAAppeles">template!$K$51:$K$62</definedName>
    <definedName name="TaxeAmeublementExiste">template!$AA$11</definedName>
    <definedName name="TaxeAmeublementN">template!$AA$28:$AA$32</definedName>
    <definedName name="TaxeAmeublementR">template!$AB$28:$AB$32</definedName>
    <definedName name="TotalTaxeAmeublement">template!$AA$12</definedName>
    <definedName name="TotalTaxeDAmeublementFacture">template!$L$68</definedName>
    <definedName name="TotalTTCFacture">template!$L$64</definedName>
    <definedName name="TVANExiste">template!$AA$6</definedName>
    <definedName name="TVARExiste">template!$AA$16</definedName>
    <definedName name="UniqueRefDevisEtDMPs">template!$Z$28:$Z$32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1" l="1" a="1"/>
  <c r="W6" i="1" s="1"/>
  <c r="J114" i="1" l="1"/>
  <c r="H101" i="1"/>
  <c r="F101" i="1"/>
  <c r="D101" i="1"/>
  <c r="C101" i="1"/>
  <c r="Z28" i="1" l="1" a="1"/>
  <c r="Z28" i="1" l="1"/>
  <c r="AA28" i="1" s="1"/>
  <c r="AB32" i="1"/>
  <c r="AA32" i="1"/>
  <c r="AB31" i="1"/>
  <c r="AA31" i="1"/>
  <c r="AB30" i="1"/>
  <c r="AA30" i="1"/>
  <c r="AB29" i="1"/>
  <c r="AA29" i="1"/>
  <c r="AA16" i="1"/>
  <c r="AA12" i="1"/>
  <c r="AA11" i="1"/>
  <c r="AA6" i="1"/>
  <c r="AB28" i="1" l="1"/>
  <c r="L68" i="1" s="1"/>
  <c r="K60" i="1"/>
  <c r="I62" i="1"/>
  <c r="L62" i="1" s="1"/>
  <c r="K62" i="1"/>
  <c r="K61" i="1"/>
  <c r="I61" i="1"/>
  <c r="L61" i="1" s="1"/>
  <c r="K59" i="1"/>
  <c r="I51" i="1"/>
  <c r="I59" i="1"/>
  <c r="L59" i="1" s="1"/>
  <c r="I60" i="1"/>
  <c r="L60" i="1" s="1"/>
  <c r="K57" i="1"/>
  <c r="K55" i="1"/>
  <c r="K53" i="1"/>
  <c r="H66" i="1"/>
  <c r="K51" i="1"/>
  <c r="H68" i="1"/>
  <c r="AB46" i="1"/>
  <c r="AC46" i="1"/>
  <c r="AC45" i="1" s="1"/>
  <c r="K58" i="1"/>
  <c r="K56" i="1"/>
  <c r="K54" i="1"/>
  <c r="K52" i="1"/>
  <c r="H67" i="1"/>
  <c r="N61" i="1" l="1"/>
  <c r="N59" i="1"/>
  <c r="H100" i="1"/>
  <c r="F100" i="1"/>
  <c r="D100" i="1"/>
  <c r="C100" i="1"/>
  <c r="AA7" i="1" l="1"/>
  <c r="I55" i="1"/>
  <c r="L55" i="1" s="1"/>
  <c r="I57" i="1"/>
  <c r="L57" i="1" s="1"/>
  <c r="I54" i="1"/>
  <c r="L54" i="1" s="1"/>
  <c r="I56" i="1"/>
  <c r="L56" i="1" s="1"/>
  <c r="I53" i="1"/>
  <c r="L53" i="1" s="1"/>
  <c r="I52" i="1"/>
  <c r="L52" i="1" s="1"/>
  <c r="I58" i="1"/>
  <c r="L58" i="1" s="1"/>
  <c r="R91" i="1"/>
  <c r="AA17" i="1" l="1"/>
  <c r="AC47" i="1" s="1"/>
  <c r="AC48" i="1" s="1"/>
  <c r="L51" i="1"/>
  <c r="L66" i="1" s="1"/>
  <c r="L67" i="1"/>
  <c r="H99" i="1"/>
  <c r="H98" i="1"/>
  <c r="H97" i="1"/>
  <c r="F99" i="1"/>
  <c r="F98" i="1"/>
  <c r="F97" i="1"/>
  <c r="D99" i="1"/>
  <c r="D98" i="1"/>
  <c r="D97" i="1"/>
  <c r="C99" i="1"/>
  <c r="C98" i="1"/>
  <c r="C97" i="1"/>
  <c r="N57" i="1" l="1"/>
  <c r="N55" i="1"/>
  <c r="R9" i="1" l="1"/>
  <c r="R92" i="1" s="1"/>
  <c r="C90" i="1" l="1"/>
  <c r="H64" i="1"/>
  <c r="N51" i="1" l="1"/>
  <c r="N53" i="1"/>
  <c r="L64" i="1" l="1"/>
  <c r="H111" i="1" s="1"/>
  <c r="J117" i="1" s="1"/>
  <c r="AC49" i="1"/>
  <c r="AC52" i="1"/>
  <c r="AC5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<sst xmlns="http://schemas.openxmlformats.org/spreadsheetml/2006/main" count="255" uniqueCount="148">
  <si>
    <t xml:space="preserve">Adresse de Facturation </t>
  </si>
  <si>
    <t>Adresse 1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</si>
  <si>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</si>
  <si>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</si>
  <si>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</si>
  <si>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</si>
  <si>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</si>
  <si>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</si>
  <si>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</si>
  <si>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</si>
  <si>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</si>
  <si>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</si>
  <si>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</si>
  <si>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</si>
  <si>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</si>
  <si>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</si>
  <si>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</si>
  <si>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</si>
  <si>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</si>
  <si>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</si>
  <si>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</si>
  <si>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</si>
  <si>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</si>
  <si>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</si>
  <si>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</si>
  <si>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</si>
  <si>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</si>
  <si>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</si>
  <si>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</si>
  <si>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</si>
  <si>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</si>
  <si>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</si>
  <si>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</si>
  <si>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</si>
  <si>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</si>
  <si>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</si>
  <si>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</si>
  <si>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</si>
  <si>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</si>
  <si>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</si>
  <si>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</si>
  <si>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</si>
  <si>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</si>
  <si>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</si>
  <si>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</si>
  <si>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</si>
  <si>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</si>
  <si>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</si>
  <si>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</si>
  <si>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</si>
  <si>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</si>
  <si>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</si>
  <si>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</si>
  <si>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</si>
  <si>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</si>
  <si>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</si>
  <si>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</si>
  <si>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</si>
  <si>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</si>
  <si>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</si>
  <si>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</si>
  <si>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</si>
  <si>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</si>
  <si>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</si>
  <si>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</si>
  <si>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</si>
  <si>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</si>
  <si>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</si>
  <si>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</si>
  <si>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</si>
  <si>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</si>
  <si>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</si>
  <si>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</si>
  <si>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</si>
  <si>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</si>
  <si>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</si>
  <si>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</si>
  <si>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</si>
  <si>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</si>
  <si>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</si>
  <si>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</si>
  <si>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</si>
  <si>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</si>
  <si>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</si>
  <si>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</si>
  <si>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</si>
  <si>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</si>
  <si>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</si>
  <si>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</si>
  <si>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</si>
  <si>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</si>
  <si>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</si>
  <si>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</si>
  <si>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</si>
  <si>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</si>
  <si>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</si>
  <si>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</si>
  <si>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</si>
  <si>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</si>
  <si>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</si>
  <si>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</si>
  <si>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</si>
  <si>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</si>
  <si>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</si>
  <si>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</si>
  <si>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</si>
  <si>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</si>
  <si>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</si>
  <si>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</si>
  <si>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</si>
  <si>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</si>
  <si>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</si>
  <si>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</si>
  <si>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</si>
  <si>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</si>
  <si>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</si>
  <si>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</si>
  <si>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</si>
  <si>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</si>
  <si>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</si>
  <si>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</si>
  <si>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</si>
  <si>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</si>
  <si>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</si>
  <si>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</si>
  <si>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</si>
  <si>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</si>
  <si>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</si>
  <si>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</si>
  <si>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</si>
  <si>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</si>
  <si>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</si>
  <si>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</si>
  <si>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</si>
  <si>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</si>
  <si>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</si>
  <si>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</si>
  <si>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</si>
  <si>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Gérer l'exception si pas de page de récapitulatif</t>
  </si>
  <si>
    <t>DMP4.201107.02</t>
  </si>
  <si>
    <t>a3</t>
  </si>
  <si>
    <t>Création d'un bureau en bois massif sombre</t>
  </si>
  <si>
    <t xml:space="preserve"> </t>
  </si>
  <si>
    <t>FC-2020572</t>
  </si>
  <si>
    <t>Faire en sorte que le numéro de facture soit une formule lorsqu'on édite la facture mais qu'elle se fige au clic sur le bouton "Enregistrer les détails de la facture"</t>
  </si>
  <si>
    <t>Adresse 3</t>
  </si>
  <si>
    <t>Adresse 2</t>
  </si>
  <si>
    <t>FC-2020573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</si>
</sst>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0" fillId="0" borderId="0" xfId="0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164" fontId="15" fillId="10" borderId="46" xfId="0" applyNumberFormat="1" applyFont="1" applyFill="1" applyBorder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164" fontId="15" fillId="9" borderId="46" xfId="0" applyNumberFormat="1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1" fillId="0" borderId="0" xfId="0" applyFont="1" applyAlignment="1">
      <alignment horizontal="left"/>
    </xf>
    <xf numFmtId="0" fontId="1" fillId="0" borderId="0" xfId="0" applyFont="1"/>
    <xf numFmtId="0" fontId="9" fillId="2" borderId="10" xfId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28" fillId="0" borderId="0" xfId="0" applyNumberFormat="1" applyFont="1" applyAlignment="1">
      <alignment horizontal="left" vertical="top"/>
    </xf>
    <xf numFmtId="164" fontId="12" fillId="0" borderId="0" xfId="0" applyNumberFormat="1" applyFont="1" applyAlignment="1">
      <alignment horizontal="left" vertical="top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7" xfId="0" applyFont="1" applyFill="1" applyBorder="1"/>
    <xf numFmtId="0" fontId="4" fillId="2" borderId="8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" fillId="7" borderId="24" xfId="0" applyFont="1" applyFill="1" applyBorder="1"/>
    <xf numFmtId="0" fontId="1" fillId="7" borderId="25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6" fillId="3" borderId="16" xfId="0" applyFont="1" applyFill="1" applyBorder="1" applyAlignment="1">
      <alignment horizontal="center" vertical="center"/>
    </xf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0" fontId="19" fillId="0" borderId="0" xfId="0" applyFont="1" applyBorder="1" applyAlignment="1">
      <alignment vertical="center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8" fillId="3" borderId="4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29" fillId="0" borderId="0" xfId="0" applyFon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120 927,17 €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53197.745880000009</c:v>
                </c:pt>
                <c:pt idx="1">
                  <c:v>67729.428719999996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101020.591</c:v>
                </c:pt>
                <c:pt idx="1">
                  <c:v>165.59100000000001</c:v>
                </c:pt>
                <c:pt idx="2">
                  <c:v>19906.583599999998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588732</xdr:colOff>
      <xdr:row>15</xdr:row>
      <xdr:rowOff>59619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3816" cy="122378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19</xdr:row>
      <xdr:rowOff>97193</xdr:rowOff>
    </xdr:from>
    <xdr:to>
      <xdr:col>1</xdr:col>
      <xdr:colOff>778192</xdr:colOff>
      <xdr:row>24</xdr:row>
      <xdr:rowOff>137159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517216"/>
          <a:ext cx="1518126" cy="120794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16221" cy="124036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48</xdr:row>
      <xdr:rowOff>35066</xdr:rowOff>
    </xdr:from>
    <xdr:to>
      <xdr:col>1</xdr:col>
      <xdr:colOff>701127</xdr:colOff>
      <xdr:row>53</xdr:row>
      <xdr:rowOff>21973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211066"/>
          <a:ext cx="1476692" cy="115107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185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103</xdr:row>
      <xdr:rowOff>0</xdr:rowOff>
    </xdr:from>
    <xdr:to>
      <xdr:col>1</xdr:col>
      <xdr:colOff>761349</xdr:colOff>
      <xdr:row>107</xdr:row>
      <xdr:rowOff>111449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3865417"/>
          <a:ext cx="1520031" cy="1000449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69</xdr:row>
      <xdr:rowOff>98325</xdr:rowOff>
    </xdr:from>
    <xdr:to>
      <xdr:col>15</xdr:col>
      <xdr:colOff>513599</xdr:colOff>
      <xdr:row>87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6160015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479798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30275" cy="1243224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667682</xdr:colOff>
      <xdr:row>51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16199" y="9615660"/>
          <a:ext cx="1775983" cy="2430743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249038</xdr:colOff>
      <xdr:row>23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7982" cy="144462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228061</xdr:colOff>
      <xdr:row>21</xdr:row>
      <xdr:rowOff>131729</xdr:rowOff>
    </xdr:from>
    <xdr:to>
      <xdr:col>11</xdr:col>
      <xdr:colOff>628573</xdr:colOff>
      <xdr:row>37</xdr:row>
      <xdr:rowOff>17448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27728" y="4788396"/>
          <a:ext cx="3586942" cy="3611052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441543</xdr:colOff>
      <xdr:row>17</xdr:row>
      <xdr:rowOff>132927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145009" y="2691977"/>
          <a:ext cx="1521034" cy="1399117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36"/>
  <sheetViews>
    <sheetView tabSelected="1" zoomScale="90" zoomScaleNormal="90" zoomScalePageLayoutView="71" workbookViewId="0">
      <selection activeCell="N14" sqref="N14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4"/>
    <col min="21" max="22" width="11.5546875" style="2"/>
    <col min="23" max="25" width="10.88671875" style="2" customWidth="1"/>
    <col min="26" max="28" width="17.109375" style="15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62" t="s">
        <v>0</v>
      </c>
      <c r="I1" s="163"/>
      <c r="J1" s="163"/>
      <c r="K1" s="170" t="s">
        <v>4</v>
      </c>
      <c r="L1" s="170"/>
      <c r="M1" s="171"/>
      <c r="R1" s="178" t="s">
        <v>11</v>
      </c>
      <c r="S1" s="178"/>
    </row>
    <row r="2" spans="1:27" ht="18" customHeight="1" x14ac:dyDescent="0.4">
      <c r="A2" s="16"/>
      <c r="H2" s="164"/>
      <c r="I2" s="165"/>
      <c r="J2" s="165"/>
      <c r="K2" s="172"/>
      <c r="L2" s="172"/>
      <c r="M2" s="173"/>
      <c r="R2" s="178"/>
      <c r="S2" s="178"/>
    </row>
    <row r="3" spans="1:27" ht="18" customHeight="1" x14ac:dyDescent="0.4">
      <c r="H3" s="162" t="s">
        <v>82</v>
      </c>
      <c r="I3" s="163"/>
      <c r="J3" s="163"/>
      <c r="K3" s="170" t="s">
        <v>4</v>
      </c>
      <c r="L3" s="170"/>
      <c r="M3" s="171"/>
      <c r="R3" s="178"/>
      <c r="S3" s="178"/>
    </row>
    <row r="4" spans="1:27" ht="18" customHeight="1" thickBot="1" x14ac:dyDescent="0.45">
      <c r="H4" s="164"/>
      <c r="I4" s="165"/>
      <c r="J4" s="165"/>
      <c r="K4" s="172"/>
      <c r="L4" s="172"/>
      <c r="M4" s="173"/>
    </row>
    <row r="5" spans="1:27" ht="18" customHeight="1" thickBot="1" x14ac:dyDescent="0.45">
      <c r="A5" s="21"/>
      <c r="B5" s="21"/>
      <c r="H5" s="114" t="s">
        <v>3</v>
      </c>
      <c r="I5" s="115"/>
      <c r="J5" s="115"/>
      <c r="K5" s="174" t="s">
        <v>5</v>
      </c>
      <c r="L5" s="174"/>
      <c r="M5" s="175"/>
      <c r="O5" s="2" t="s">
        <v>142</v>
      </c>
      <c r="P5" s="108" t="s">
        <v>12</v>
      </c>
      <c r="Q5" s="109"/>
      <c r="R5" s="176">
        <v>44261</v>
      </c>
      <c r="S5" s="177"/>
      <c r="W5" s="6"/>
      <c r="X5" s="10" t="s">
        <v>17</v>
      </c>
      <c r="Z5" s="179" t="s">
        <v>101</v>
      </c>
      <c r="AA5" s="180"/>
    </row>
    <row r="6" spans="1:27" ht="18" customHeight="1" thickBot="1" x14ac:dyDescent="0.45">
      <c r="A6" s="21"/>
      <c r="B6" s="21"/>
      <c r="H6" s="114" t="s">
        <v>10</v>
      </c>
      <c r="I6" s="115"/>
      <c r="J6" s="115"/>
      <c r="K6" s="106" t="s">
        <v>6</v>
      </c>
      <c r="L6" s="106"/>
      <c r="M6" s="107"/>
      <c r="P6" s="166" t="s">
        <v>13</v>
      </c>
      <c r="Q6" s="167"/>
      <c r="R6" s="168">
        <v>1</v>
      </c>
      <c r="S6" s="169"/>
      <c r="U6" s="21"/>
      <c r="V6" s="21"/>
      <c r="W6" s="7" t="str" cm="1">
        <f t="array" aca="1" ref="W6" ca="1">CONCATENATE("FC-",YEAR(TODAY())-1,INDEX('informations enregistrées'!A2:A10000,COUNTA('informations enregistrées'!A2:A10000),1)+1)</f>
        <v>FC-2020572</v>
      </c>
      <c r="X6" s="11"/>
      <c r="Z6" s="8" t="s">
        <v>72</v>
      </c>
      <c r="AA6" s="35" t="str">
        <f>IF(COUNTIF(CodesTVA,"N")+COUNTIF(CodesTVA,"A + N")&gt;0,"Y","N")</f>
        <v>Y</v>
      </c>
    </row>
    <row r="7" spans="1:27" ht="18" customHeight="1" thickBot="1" x14ac:dyDescent="0.45">
      <c r="A7" s="21"/>
      <c r="B7" s="21"/>
      <c r="H7" s="114" t="s">
        <v>1</v>
      </c>
      <c r="I7" s="115"/>
      <c r="J7" s="115"/>
      <c r="K7" s="106" t="s">
        <v>7</v>
      </c>
      <c r="L7" s="106"/>
      <c r="M7" s="107"/>
      <c r="P7" s="166"/>
      <c r="Q7" s="167"/>
      <c r="R7" s="168"/>
      <c r="S7" s="169"/>
      <c r="U7" s="21"/>
      <c r="V7" s="21"/>
      <c r="W7" s="85" t="s">
        <v>137</v>
      </c>
      <c r="X7" s="85" t="s">
        <v>136</v>
      </c>
      <c r="Z7" s="4" t="s">
        <v>73</v>
      </c>
      <c r="AA7" s="5">
        <f>(SUMIF(CodesTVA,"A + N",MontantsArticlesHT)+SUMIF(CodesTVA,"N",MontantsArticlesHT)+SUM(TaxeAmeublementN))*20%</f>
        <v>19609.048999999999</v>
      </c>
    </row>
    <row r="8" spans="1:27" ht="18" customHeight="1" x14ac:dyDescent="0.4">
      <c r="H8" s="114" t="s">
        <v>145</v>
      </c>
      <c r="I8" s="115"/>
      <c r="J8" s="115"/>
      <c r="K8" s="106" t="s">
        <v>8</v>
      </c>
      <c r="L8" s="106"/>
      <c r="M8" s="107"/>
      <c r="P8" s="181" t="s">
        <v>14</v>
      </c>
      <c r="Q8" s="182"/>
      <c r="R8" s="112">
        <v>2</v>
      </c>
      <c r="S8" s="113"/>
      <c r="W8" s="86"/>
      <c r="X8" s="86"/>
    </row>
    <row r="9" spans="1:27" ht="18" customHeight="1" thickBot="1" x14ac:dyDescent="0.45">
      <c r="H9" s="114" t="s">
        <v>2</v>
      </c>
      <c r="I9" s="115"/>
      <c r="J9" s="115"/>
      <c r="K9" s="106" t="s">
        <v>9</v>
      </c>
      <c r="L9" s="106"/>
      <c r="M9" s="107"/>
      <c r="P9" s="108" t="s">
        <v>111</v>
      </c>
      <c r="Q9" s="109"/>
      <c r="R9" s="112" t="str">
        <f ca="1">W6</f>
        <v>FC-2020572</v>
      </c>
      <c r="S9" s="113"/>
    </row>
    <row r="10" spans="1:27" ht="18" customHeight="1" thickBot="1" x14ac:dyDescent="0.45">
      <c r="H10" s="114" t="s">
        <v>95</v>
      </c>
      <c r="I10" s="115"/>
      <c r="J10" s="115"/>
      <c r="K10" s="105" t="s">
        <v>96</v>
      </c>
      <c r="L10" s="106"/>
      <c r="M10" s="107"/>
      <c r="P10" s="110" t="s">
        <v>15</v>
      </c>
      <c r="Q10" s="111"/>
      <c r="R10" s="116">
        <v>44261</v>
      </c>
      <c r="S10" s="117"/>
      <c r="Z10" s="179" t="s">
        <v>71</v>
      </c>
      <c r="AA10" s="180"/>
    </row>
    <row r="11" spans="1:27" ht="18" customHeight="1" thickBot="1" x14ac:dyDescent="0.45">
      <c r="A11" s="53"/>
      <c r="B11" s="53"/>
      <c r="C11" s="44"/>
      <c r="D11" s="44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Z11" s="8" t="s">
        <v>72</v>
      </c>
      <c r="AA11" s="35" t="str">
        <f>IF(COUNTIF(CodesTVA,"A")+COUNTIF(CodesTVA,"A + N")+COUNTIF(CodesTVA,"A + R")&gt;0,"Y","N")</f>
        <v>Y</v>
      </c>
    </row>
    <row r="12" spans="1:27" ht="18" customHeight="1" thickBot="1" x14ac:dyDescent="0.45">
      <c r="A12" s="22"/>
      <c r="B12" s="22"/>
      <c r="C12" s="14" t="s">
        <v>131</v>
      </c>
      <c r="D12" s="103" t="s">
        <v>29</v>
      </c>
      <c r="E12" s="103"/>
      <c r="F12" s="104" t="s">
        <v>18</v>
      </c>
      <c r="G12" s="104"/>
      <c r="H12" s="14" t="s">
        <v>19</v>
      </c>
      <c r="I12" s="14"/>
      <c r="J12" s="14"/>
      <c r="Z12" s="4" t="s">
        <v>73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2"/>
      <c r="B13" s="22"/>
      <c r="C13" s="49" t="s">
        <v>130</v>
      </c>
      <c r="D13" s="103" t="s">
        <v>30</v>
      </c>
      <c r="E13" s="103"/>
      <c r="F13" s="104" t="s">
        <v>20</v>
      </c>
      <c r="G13" s="104"/>
      <c r="H13" s="2" t="s">
        <v>21</v>
      </c>
    </row>
    <row r="14" spans="1:27" ht="18" customHeight="1" thickBot="1" x14ac:dyDescent="0.45">
      <c r="A14" s="22"/>
      <c r="B14" s="22"/>
      <c r="C14" s="49" t="s">
        <v>130</v>
      </c>
      <c r="D14" s="103" t="s">
        <v>31</v>
      </c>
      <c r="E14" s="103"/>
      <c r="F14" s="104" t="s">
        <v>20</v>
      </c>
      <c r="G14" s="104"/>
      <c r="H14" s="2" t="s">
        <v>21</v>
      </c>
    </row>
    <row r="15" spans="1:27" ht="18" customHeight="1" thickBot="1" x14ac:dyDescent="0.45">
      <c r="A15" s="53"/>
      <c r="B15" s="53"/>
      <c r="C15" s="53" t="s">
        <v>130</v>
      </c>
      <c r="D15" s="103" t="s">
        <v>127</v>
      </c>
      <c r="E15" s="103"/>
      <c r="F15" s="104" t="s">
        <v>20</v>
      </c>
      <c r="G15" s="104"/>
      <c r="H15" s="53" t="s">
        <v>21</v>
      </c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Z15" s="179" t="s">
        <v>80</v>
      </c>
      <c r="AA15" s="180"/>
    </row>
    <row r="16" spans="1:27" ht="18" customHeight="1" thickBot="1" x14ac:dyDescent="0.45">
      <c r="A16"/>
      <c r="B16"/>
      <c r="C16" s="60" t="s">
        <v>130</v>
      </c>
      <c r="D16" s="103" t="s">
        <v>139</v>
      </c>
      <c r="E16" s="103"/>
      <c r="F16" s="104" t="s">
        <v>20</v>
      </c>
      <c r="G16" s="104"/>
      <c r="H16" s="60" t="s">
        <v>21</v>
      </c>
      <c r="I16"/>
      <c r="J16"/>
      <c r="K16"/>
      <c r="L16"/>
      <c r="M16"/>
      <c r="N16"/>
      <c r="O16"/>
      <c r="P16"/>
      <c r="Q16"/>
      <c r="R16"/>
      <c r="S16"/>
      <c r="Z16" s="8" t="s">
        <v>72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Y17" s="22"/>
      <c r="Z17" s="4" t="s">
        <v>73</v>
      </c>
      <c r="AA17" s="5">
        <f>(SUMIF(CodesTVA,"A + R",MontantsArticlesHT)+SUMIF(CodesTVA,"R",MontantsArticlesHT)+SUM(TaxeAmeublementR))*10%</f>
        <v>297.53460000000001</v>
      </c>
    </row>
    <row r="18" spans="1:29" s="22" customFormat="1" ht="18" customHeight="1" x14ac:dyDescent="0.4">
      <c r="A18" s="21"/>
      <c r="B18" s="21"/>
      <c r="C18" s="70" t="s">
        <v>98</v>
      </c>
      <c r="D18" s="70" t="s">
        <v>25</v>
      </c>
      <c r="E18" s="73" t="s">
        <v>26</v>
      </c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5"/>
      <c r="R18" s="70" t="s">
        <v>27</v>
      </c>
      <c r="S18" s="70" t="s">
        <v>28</v>
      </c>
      <c r="Z18" s="37"/>
      <c r="AA18" s="37"/>
    </row>
    <row r="19" spans="1:29" s="22" customFormat="1" ht="18" customHeight="1" x14ac:dyDescent="0.4">
      <c r="A19" s="21"/>
      <c r="B19" s="21"/>
      <c r="C19" s="71"/>
      <c r="D19" s="71"/>
      <c r="E19" s="76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8"/>
      <c r="R19" s="71"/>
      <c r="S19" s="71"/>
    </row>
    <row r="20" spans="1:29" ht="18" customHeight="1" x14ac:dyDescent="0.4">
      <c r="A20" s="22"/>
      <c r="B20" s="22"/>
      <c r="C20" s="72"/>
      <c r="D20" s="72"/>
      <c r="E20" s="79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1"/>
      <c r="R20" s="72"/>
      <c r="S20" s="72"/>
      <c r="Y20" s="22"/>
    </row>
    <row r="21" spans="1:29" ht="18" customHeight="1" x14ac:dyDescent="0.4">
      <c r="A21" s="3"/>
      <c r="B21" s="3"/>
      <c r="C21" s="17" t="s">
        <v>29</v>
      </c>
      <c r="D21" s="38" t="s">
        <v>32</v>
      </c>
      <c r="E21" s="97" t="s">
        <v>50</v>
      </c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9"/>
      <c r="R21" s="18">
        <v>34900</v>
      </c>
      <c r="S21" s="26" t="s">
        <v>69</v>
      </c>
      <c r="U21" s="22"/>
      <c r="V21" s="22"/>
      <c r="W21" s="22"/>
      <c r="X21" s="22"/>
      <c r="Y21" s="22"/>
      <c r="Z21" s="59"/>
      <c r="AA21" s="59"/>
      <c r="AB21" s="59"/>
    </row>
    <row r="22" spans="1:29" ht="18" customHeight="1" x14ac:dyDescent="0.4">
      <c r="A22" s="22"/>
      <c r="B22" s="22"/>
      <c r="C22" s="19" t="s">
        <v>29</v>
      </c>
      <c r="D22" s="39" t="s">
        <v>33</v>
      </c>
      <c r="E22" s="100" t="s">
        <v>51</v>
      </c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2"/>
      <c r="R22" s="20">
        <v>7950</v>
      </c>
      <c r="S22" s="27" t="s">
        <v>69</v>
      </c>
      <c r="U22" s="22"/>
      <c r="V22" s="22"/>
      <c r="W22" s="22"/>
      <c r="X22" s="22"/>
      <c r="Y22" s="22"/>
      <c r="Z22" s="59"/>
      <c r="AA22" s="59"/>
      <c r="AB22" s="59"/>
      <c r="AC22" s="22"/>
    </row>
    <row r="23" spans="1:29" ht="18" customHeight="1" x14ac:dyDescent="0.4">
      <c r="A23" s="22"/>
      <c r="B23" s="22"/>
      <c r="C23" s="17" t="s">
        <v>29</v>
      </c>
      <c r="D23" s="38" t="s">
        <v>34</v>
      </c>
      <c r="E23" s="97" t="s">
        <v>52</v>
      </c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9"/>
      <c r="R23" s="18">
        <v>990</v>
      </c>
      <c r="S23" s="26" t="s">
        <v>69</v>
      </c>
      <c r="U23" s="22"/>
      <c r="V23" s="22"/>
      <c r="W23" s="22"/>
      <c r="X23" s="22"/>
      <c r="Y23" s="22"/>
      <c r="Z23" s="59"/>
      <c r="AA23" s="59"/>
      <c r="AB23" s="59"/>
    </row>
    <row r="24" spans="1:29" ht="18" customHeight="1" thickBot="1" x14ac:dyDescent="0.45">
      <c r="A24" s="22"/>
      <c r="B24" s="22"/>
      <c r="C24" s="19" t="s">
        <v>29</v>
      </c>
      <c r="D24" s="39" t="s">
        <v>23</v>
      </c>
      <c r="E24" s="100" t="s">
        <v>53</v>
      </c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2"/>
      <c r="R24" s="20">
        <v>1200</v>
      </c>
      <c r="S24" s="27" t="s">
        <v>69</v>
      </c>
      <c r="U24" s="22"/>
      <c r="V24" s="22"/>
      <c r="W24" s="22"/>
      <c r="X24" s="22"/>
      <c r="Y24" s="22"/>
    </row>
    <row r="25" spans="1:29" ht="18" customHeight="1" x14ac:dyDescent="0.4">
      <c r="A25" s="21"/>
      <c r="B25" s="40"/>
      <c r="C25" s="17" t="s">
        <v>29</v>
      </c>
      <c r="D25" s="38" t="s">
        <v>35</v>
      </c>
      <c r="E25" s="97" t="s">
        <v>54</v>
      </c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9"/>
      <c r="R25" s="18">
        <v>350</v>
      </c>
      <c r="S25" s="26" t="s">
        <v>69</v>
      </c>
      <c r="Y25" s="22"/>
      <c r="Z25" s="156" t="s">
        <v>99</v>
      </c>
      <c r="AA25" s="157"/>
      <c r="AB25" s="158"/>
      <c r="AC25" s="53"/>
    </row>
    <row r="26" spans="1:29" ht="18" customHeight="1" thickBot="1" x14ac:dyDescent="0.45">
      <c r="A26" s="21"/>
      <c r="B26" s="40"/>
      <c r="C26" s="19" t="s">
        <v>29</v>
      </c>
      <c r="D26" s="39" t="s">
        <v>22</v>
      </c>
      <c r="E26" s="100" t="s">
        <v>55</v>
      </c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2"/>
      <c r="R26" s="20">
        <v>7080</v>
      </c>
      <c r="S26" s="27" t="s">
        <v>69</v>
      </c>
      <c r="Y26" s="22"/>
      <c r="Z26" s="159"/>
      <c r="AA26" s="160"/>
      <c r="AB26" s="161"/>
      <c r="AC26" s="53"/>
    </row>
    <row r="27" spans="1:29" ht="18" customHeight="1" thickBot="1" x14ac:dyDescent="0.45">
      <c r="C27" s="17" t="s">
        <v>29</v>
      </c>
      <c r="D27" s="38" t="s">
        <v>24</v>
      </c>
      <c r="E27" s="97" t="s">
        <v>55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9"/>
      <c r="R27" s="18">
        <v>2530</v>
      </c>
      <c r="S27" s="26" t="s">
        <v>69</v>
      </c>
      <c r="Y27" s="22"/>
      <c r="Z27" s="31"/>
      <c r="AA27" s="32" t="s">
        <v>69</v>
      </c>
      <c r="AB27" s="33" t="s">
        <v>100</v>
      </c>
    </row>
    <row r="28" spans="1:29" ht="18" customHeight="1" thickBot="1" x14ac:dyDescent="0.45">
      <c r="C28" s="19" t="s">
        <v>29</v>
      </c>
      <c r="D28" s="39" t="s">
        <v>36</v>
      </c>
      <c r="E28" s="100" t="s">
        <v>56</v>
      </c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2"/>
      <c r="R28" s="20">
        <v>1800</v>
      </c>
      <c r="S28" s="27" t="s">
        <v>69</v>
      </c>
      <c r="Y28" s="21"/>
      <c r="Z28" s="52" t="str" cm="1">
        <f t="array" ref="Z28:Z32">DevisEtDMPs</f>
        <v>D.201107.02</v>
      </c>
      <c r="AA28" s="30">
        <f>(SUMIFS(MontantsArticlesHT,RefsDevisEtDMP,$Z28,CodesTVA,"A + N"))*0.18%</f>
        <v>150.35399999999998</v>
      </c>
      <c r="AB28" s="30">
        <f>SUMIFS(MontantsArticlesHT,RefsDevisEtDMP,$Z28,CodesTVA,"A + R")*0.18%</f>
        <v>0</v>
      </c>
    </row>
    <row r="29" spans="1:29" ht="18" customHeight="1" thickBot="1" x14ac:dyDescent="0.45">
      <c r="C29" s="17" t="s">
        <v>29</v>
      </c>
      <c r="D29" s="38" t="s">
        <v>37</v>
      </c>
      <c r="E29" s="97" t="s">
        <v>57</v>
      </c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9"/>
      <c r="R29" s="18">
        <v>1590</v>
      </c>
      <c r="S29" s="26" t="s">
        <v>69</v>
      </c>
      <c r="Y29" s="21"/>
      <c r="Z29" s="52" t="str">
        <v>DMP1.201107.02</v>
      </c>
      <c r="AA29" s="30">
        <f>(SUMIFS(MontantsArticlesHT,RefsDevisEtDMP,$Z29,CodesTVA,"A + N"))*0.18%</f>
        <v>1.2149999999999999</v>
      </c>
      <c r="AB29" s="25">
        <f>SUMIFS(MontantsArticlesHT,RefsDevisEtDMP,$Z29,CodesTVA,"A + R")*0.18%</f>
        <v>0</v>
      </c>
    </row>
    <row r="30" spans="1:29" ht="18" customHeight="1" thickBot="1" x14ac:dyDescent="0.45">
      <c r="C30" s="19" t="s">
        <v>29</v>
      </c>
      <c r="D30" s="39" t="s">
        <v>38</v>
      </c>
      <c r="E30" s="100" t="s">
        <v>52</v>
      </c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2"/>
      <c r="R30" s="20">
        <v>4600</v>
      </c>
      <c r="S30" s="27" t="s">
        <v>69</v>
      </c>
      <c r="Y30" s="22"/>
      <c r="Z30" s="52" t="str">
        <v>DMP2.201107.02</v>
      </c>
      <c r="AA30" s="30">
        <f>(SUMIFS(MontantsArticlesHT,RefsDevisEtDMP,$Z30,CodesTVA,"A + N"))*0.18%</f>
        <v>8.6760000000000002</v>
      </c>
      <c r="AB30" s="25">
        <f>SUMIFS(MontantsArticlesHT,RefsDevisEtDMP,$Z30,CodesTVA,"A + R")*0.18%</f>
        <v>0</v>
      </c>
    </row>
    <row r="31" spans="1:29" ht="18" customHeight="1" thickBot="1" x14ac:dyDescent="0.45">
      <c r="C31" s="17" t="s">
        <v>29</v>
      </c>
      <c r="D31" s="38" t="s">
        <v>39</v>
      </c>
      <c r="E31" s="97" t="s">
        <v>58</v>
      </c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9"/>
      <c r="R31" s="18">
        <v>2950</v>
      </c>
      <c r="S31" s="26" t="s">
        <v>69</v>
      </c>
      <c r="Y31" s="22"/>
      <c r="Z31" s="52" t="str">
        <v>DMP3.201107.02</v>
      </c>
      <c r="AA31" s="30">
        <f>(SUMIFS(MontantsArticlesHT,RefsDevisEtDMP,$Z31,CodesTVA,"A + N"))*0.18%</f>
        <v>0</v>
      </c>
      <c r="AB31" s="25">
        <f>SUMIFS(MontantsArticlesHT,RefsDevisEtDMP,$Z31,CodesTVA,"A + R")*0.18%</f>
        <v>4.4639999999999995</v>
      </c>
    </row>
    <row r="32" spans="1:29" ht="18" customHeight="1" thickBot="1" x14ac:dyDescent="0.45">
      <c r="C32" s="19" t="s">
        <v>29</v>
      </c>
      <c r="D32" s="39" t="s">
        <v>40</v>
      </c>
      <c r="E32" s="100" t="s">
        <v>59</v>
      </c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2"/>
      <c r="R32" s="20">
        <v>990</v>
      </c>
      <c r="S32" s="27" t="s">
        <v>69</v>
      </c>
      <c r="Z32" s="52" t="str">
        <v>DMP4.201107.02</v>
      </c>
      <c r="AA32" s="30">
        <f>(SUMIFS(MontantsArticlesHT,RefsDevisEtDMP,$Z32,CodesTVA,"A + N"))*0.18%</f>
        <v>0</v>
      </c>
      <c r="AB32" s="25">
        <f>SUMIFS(MontantsArticlesHT,RefsDevisEtDMP,$Z32,CodesTVA,"A + R")*0.18%</f>
        <v>0.88200000000000001</v>
      </c>
    </row>
    <row r="33" spans="1:36" ht="18" customHeight="1" thickBot="1" x14ac:dyDescent="0.45">
      <c r="C33" s="17" t="s">
        <v>29</v>
      </c>
      <c r="D33" s="38" t="s">
        <v>41</v>
      </c>
      <c r="E33" s="97" t="s">
        <v>60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9"/>
      <c r="R33" s="18">
        <v>16600</v>
      </c>
      <c r="S33" s="26" t="s">
        <v>69</v>
      </c>
      <c r="Z33" s="52"/>
      <c r="AA33" s="30"/>
      <c r="AB33" s="25"/>
    </row>
    <row r="34" spans="1:36" s="14" customFormat="1" ht="18" customHeight="1" thickBot="1" x14ac:dyDescent="0.45">
      <c r="A34" s="2"/>
      <c r="B34" s="2"/>
      <c r="C34" s="19" t="s">
        <v>29</v>
      </c>
      <c r="D34" s="39" t="s">
        <v>42</v>
      </c>
      <c r="E34" s="100" t="s">
        <v>61</v>
      </c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2"/>
      <c r="R34" s="20">
        <v>8400</v>
      </c>
      <c r="S34" s="27" t="s">
        <v>70</v>
      </c>
      <c r="Z34" s="52"/>
      <c r="AA34" s="30"/>
      <c r="AB34" s="25"/>
      <c r="AC34" s="59"/>
      <c r="AD34" s="59"/>
    </row>
    <row r="35" spans="1:36" ht="18" customHeight="1" thickBot="1" x14ac:dyDescent="0.45">
      <c r="C35" s="17" t="s">
        <v>30</v>
      </c>
      <c r="D35" s="38" t="s">
        <v>43</v>
      </c>
      <c r="E35" s="97" t="s">
        <v>62</v>
      </c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9"/>
      <c r="R35" s="18">
        <v>375</v>
      </c>
      <c r="S35" s="26" t="s">
        <v>70</v>
      </c>
      <c r="Z35" s="52"/>
      <c r="AA35" s="30"/>
      <c r="AB35" s="25"/>
      <c r="AC35" s="59"/>
      <c r="AD35" s="59"/>
    </row>
    <row r="36" spans="1:36" ht="18" customHeight="1" thickBot="1" x14ac:dyDescent="0.45">
      <c r="C36" s="19" t="s">
        <v>30</v>
      </c>
      <c r="D36" s="39" t="s">
        <v>44</v>
      </c>
      <c r="E36" s="100" t="s">
        <v>63</v>
      </c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2"/>
      <c r="R36" s="20">
        <v>345</v>
      </c>
      <c r="S36" s="27" t="s">
        <v>69</v>
      </c>
      <c r="Z36" s="52"/>
      <c r="AA36" s="30"/>
      <c r="AB36" s="25"/>
      <c r="AC36" s="59"/>
      <c r="AD36" s="59"/>
    </row>
    <row r="37" spans="1:36" ht="18" customHeight="1" thickBot="1" x14ac:dyDescent="0.45">
      <c r="A37" s="14"/>
      <c r="B37" s="14"/>
      <c r="C37" s="17" t="s">
        <v>30</v>
      </c>
      <c r="D37" s="38" t="s">
        <v>45</v>
      </c>
      <c r="E37" s="97" t="s">
        <v>64</v>
      </c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9"/>
      <c r="R37" s="18">
        <v>330</v>
      </c>
      <c r="S37" s="26" t="s">
        <v>69</v>
      </c>
      <c r="Z37" s="52"/>
      <c r="AA37" s="30"/>
      <c r="AB37" s="25"/>
      <c r="AC37" s="59"/>
      <c r="AD37" s="59"/>
    </row>
    <row r="38" spans="1:36" ht="18" customHeight="1" thickBot="1" x14ac:dyDescent="0.45">
      <c r="C38" s="19" t="s">
        <v>30</v>
      </c>
      <c r="D38" s="39" t="s">
        <v>46</v>
      </c>
      <c r="E38" s="100" t="s">
        <v>65</v>
      </c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2"/>
      <c r="R38" s="20">
        <v>85</v>
      </c>
      <c r="S38" s="27" t="s">
        <v>70</v>
      </c>
      <c r="Z38" s="52"/>
      <c r="AA38" s="30"/>
      <c r="AB38" s="25"/>
      <c r="AC38" s="59"/>
      <c r="AD38" s="59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17" t="s">
        <v>31</v>
      </c>
      <c r="D39" s="38" t="s">
        <v>47</v>
      </c>
      <c r="E39" s="97" t="s">
        <v>66</v>
      </c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9"/>
      <c r="R39" s="18">
        <v>2150</v>
      </c>
      <c r="S39" s="26" t="s">
        <v>69</v>
      </c>
      <c r="Z39" s="52"/>
      <c r="AA39" s="30"/>
      <c r="AB39" s="25"/>
      <c r="AC39" s="59"/>
      <c r="AD39" s="59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C40" s="19" t="s">
        <v>31</v>
      </c>
      <c r="D40" s="39" t="s">
        <v>48</v>
      </c>
      <c r="E40" s="100" t="s">
        <v>67</v>
      </c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2"/>
      <c r="R40" s="20">
        <v>3880</v>
      </c>
      <c r="S40" s="27" t="s">
        <v>69</v>
      </c>
      <c r="Z40" s="52"/>
      <c r="AA40" s="30"/>
      <c r="AB40" s="25"/>
      <c r="AC40" s="59"/>
      <c r="AD40" s="59"/>
      <c r="AE40" s="12"/>
      <c r="AF40" s="12"/>
      <c r="AG40" s="12"/>
      <c r="AH40" s="12"/>
      <c r="AI40" s="12"/>
      <c r="AJ40" s="12"/>
    </row>
    <row r="41" spans="1:36" ht="18" customHeight="1" thickBot="1" x14ac:dyDescent="0.45">
      <c r="C41" s="17" t="s">
        <v>31</v>
      </c>
      <c r="D41" s="38" t="s">
        <v>49</v>
      </c>
      <c r="E41" s="184" t="s">
        <v>68</v>
      </c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6"/>
      <c r="R41" s="18">
        <v>-1210</v>
      </c>
      <c r="S41" s="26" t="s">
        <v>69</v>
      </c>
      <c r="Z41" s="52"/>
      <c r="AA41" s="30"/>
      <c r="AB41" s="25"/>
      <c r="AE41" s="12"/>
      <c r="AF41" s="12"/>
      <c r="AG41" s="12"/>
      <c r="AH41" s="12"/>
      <c r="AI41" s="12"/>
      <c r="AJ41" s="12"/>
    </row>
    <row r="42" spans="1:36" ht="18" customHeight="1" thickBot="1" x14ac:dyDescent="0.45">
      <c r="A42"/>
      <c r="B42"/>
      <c r="C42" s="70" t="s">
        <v>98</v>
      </c>
      <c r="D42" s="70" t="s">
        <v>25</v>
      </c>
      <c r="E42" s="73" t="s">
        <v>26</v>
      </c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5"/>
      <c r="R42" s="70" t="s">
        <v>27</v>
      </c>
      <c r="S42" s="70" t="s">
        <v>28</v>
      </c>
      <c r="Z42" s="52"/>
      <c r="AA42" s="30"/>
      <c r="AB42" s="25"/>
      <c r="AE42" s="12"/>
      <c r="AF42" s="12"/>
      <c r="AG42" s="12"/>
      <c r="AH42" s="12"/>
      <c r="AI42" s="12"/>
      <c r="AJ42" s="12"/>
    </row>
    <row r="43" spans="1:36" ht="18" customHeight="1" thickBot="1" x14ac:dyDescent="0.45">
      <c r="A43" s="60"/>
      <c r="B43" s="60"/>
      <c r="C43" s="71"/>
      <c r="D43" s="71"/>
      <c r="E43" s="76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8"/>
      <c r="R43" s="71"/>
      <c r="S43" s="71"/>
      <c r="T43" s="43"/>
      <c r="U43" s="43"/>
      <c r="V43" s="43"/>
      <c r="W43" s="43"/>
      <c r="X43" s="43"/>
      <c r="Z43" s="52"/>
      <c r="AA43" s="30"/>
      <c r="AB43" s="25"/>
      <c r="AE43" s="12"/>
      <c r="AF43" s="12"/>
      <c r="AG43" s="12"/>
      <c r="AH43" s="12"/>
      <c r="AI43" s="12"/>
      <c r="AJ43" s="12"/>
    </row>
    <row r="44" spans="1:36" ht="18" customHeight="1" x14ac:dyDescent="0.4">
      <c r="A44" s="60"/>
      <c r="B44" s="60"/>
      <c r="C44" s="72"/>
      <c r="D44" s="72"/>
      <c r="E44" s="79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1"/>
      <c r="R44" s="72"/>
      <c r="S44" s="72"/>
      <c r="T44" s="43"/>
      <c r="U44" s="43"/>
      <c r="V44" s="43"/>
      <c r="W44" s="43"/>
      <c r="X44" s="43"/>
      <c r="AC44" s="15"/>
    </row>
    <row r="45" spans="1:36" ht="18" customHeight="1" x14ac:dyDescent="0.4">
      <c r="A45" s="49"/>
      <c r="B45" s="49"/>
      <c r="C45" s="19" t="s">
        <v>127</v>
      </c>
      <c r="D45" s="39" t="s">
        <v>45</v>
      </c>
      <c r="E45" s="100" t="s">
        <v>64</v>
      </c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2"/>
      <c r="R45" s="20">
        <v>330</v>
      </c>
      <c r="S45" s="27" t="s">
        <v>100</v>
      </c>
      <c r="T45" s="43"/>
      <c r="U45" s="43"/>
      <c r="V45" s="43"/>
      <c r="W45" s="43"/>
      <c r="X45" s="43"/>
      <c r="AB45" s="45" t="s">
        <v>124</v>
      </c>
      <c r="AC45" s="51">
        <f>IFERROR(SUM(MontantsArticlesHT)+AC46,SUM(MontantsArticlesHT))</f>
        <v>101020.591</v>
      </c>
    </row>
    <row r="46" spans="1:36" ht="18" customHeight="1" x14ac:dyDescent="0.4">
      <c r="A46"/>
      <c r="B46"/>
      <c r="C46" s="17" t="s">
        <v>127</v>
      </c>
      <c r="D46" s="38" t="s">
        <v>47</v>
      </c>
      <c r="E46" s="97" t="s">
        <v>66</v>
      </c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9"/>
      <c r="R46" s="18">
        <v>2150</v>
      </c>
      <c r="S46" s="26" t="s">
        <v>100</v>
      </c>
      <c r="T46" s="43"/>
      <c r="U46" s="43"/>
      <c r="V46" s="43"/>
      <c r="W46" s="43"/>
      <c r="X46" s="43"/>
      <c r="AB46" s="50" t="str">
        <f>IF(TaxeAmeublementExiste="Y","Taxe d'ameublement (A) 0,18%","")</f>
        <v>Taxe d'ameublement (A) 0,18%</v>
      </c>
      <c r="AC46" s="51">
        <f>IF(TaxeAmeublementExiste="Y",TotalTaxeAmeublement,"")</f>
        <v>165.59100000000001</v>
      </c>
      <c r="AF46" s="45"/>
    </row>
    <row r="47" spans="1:36" s="15" customFormat="1" ht="18" customHeight="1" x14ac:dyDescent="0.4">
      <c r="A47"/>
      <c r="B47"/>
      <c r="C47" s="19" t="s">
        <v>139</v>
      </c>
      <c r="D47" s="39" t="s">
        <v>140</v>
      </c>
      <c r="E47" s="100" t="s">
        <v>141</v>
      </c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2"/>
      <c r="R47" s="20">
        <v>490</v>
      </c>
      <c r="S47" s="27" t="s">
        <v>100</v>
      </c>
      <c r="T47" s="43"/>
      <c r="U47" s="43"/>
      <c r="V47" s="43"/>
      <c r="W47" s="43"/>
      <c r="X47" s="43"/>
      <c r="AB47" s="50" t="s">
        <v>122</v>
      </c>
      <c r="AC47" s="51">
        <f>MontantTotalTVAN+MontantTotalTVAR</f>
        <v>19906.583599999998</v>
      </c>
      <c r="AD47" s="45"/>
      <c r="AF47" s="45"/>
    </row>
    <row r="48" spans="1:36" s="15" customFormat="1" ht="18" customHeight="1" thickBot="1" x14ac:dyDescent="0.45">
      <c r="A48" s="2"/>
      <c r="B48" s="2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43"/>
      <c r="U48" s="43"/>
      <c r="V48" s="43"/>
      <c r="W48" s="43"/>
      <c r="X48" s="43"/>
      <c r="AB48" s="50" t="s">
        <v>97</v>
      </c>
      <c r="AC48" s="51">
        <f>AC45+AC47</f>
        <v>120927.1746</v>
      </c>
      <c r="AE48" s="45"/>
      <c r="AF48" s="45"/>
    </row>
    <row r="49" spans="1:30" s="15" customFormat="1" ht="18" customHeight="1" thickTop="1" thickBot="1" x14ac:dyDescent="0.45">
      <c r="A49" s="2"/>
      <c r="B49" s="2"/>
      <c r="C49" s="2"/>
      <c r="D49" s="2"/>
      <c r="E49" s="2"/>
      <c r="F49" s="128" t="s">
        <v>74</v>
      </c>
      <c r="G49" s="183" t="s">
        <v>75</v>
      </c>
      <c r="H49" s="183"/>
      <c r="I49" s="183" t="s">
        <v>76</v>
      </c>
      <c r="J49" s="183"/>
      <c r="K49" s="128" t="s">
        <v>79</v>
      </c>
      <c r="L49" s="183" t="s">
        <v>77</v>
      </c>
      <c r="M49" s="183"/>
      <c r="N49" s="183" t="s">
        <v>78</v>
      </c>
      <c r="O49" s="183"/>
      <c r="P49" s="45"/>
      <c r="Q49" s="45"/>
      <c r="R49" s="45"/>
      <c r="S49" s="45"/>
      <c r="T49" s="43"/>
      <c r="U49" s="43"/>
      <c r="V49" s="43"/>
      <c r="W49" s="43"/>
      <c r="X49" s="43"/>
      <c r="AB49" s="50" t="s">
        <v>102</v>
      </c>
      <c r="AC49" s="51">
        <f>SUM(MontantsTTCAppeles)</f>
        <v>53197.745880000009</v>
      </c>
      <c r="AD49" s="45"/>
    </row>
    <row r="50" spans="1:30" ht="18" customHeight="1" thickTop="1" thickBot="1" x14ac:dyDescent="0.45">
      <c r="F50" s="129"/>
      <c r="G50" s="183"/>
      <c r="H50" s="183"/>
      <c r="I50" s="183"/>
      <c r="J50" s="183"/>
      <c r="K50" s="129"/>
      <c r="L50" s="183"/>
      <c r="M50" s="183"/>
      <c r="N50" s="183"/>
      <c r="O50" s="183"/>
      <c r="P50" s="45"/>
      <c r="Q50" s="45"/>
      <c r="R50" s="45"/>
      <c r="S50" s="45"/>
      <c r="T50" s="43"/>
      <c r="U50" s="43"/>
      <c r="V50" s="43"/>
      <c r="W50" s="43"/>
      <c r="X50" s="43"/>
      <c r="Y50" s="15"/>
      <c r="AA50" s="2"/>
      <c r="AB50" s="2" t="s">
        <v>123</v>
      </c>
      <c r="AC50" s="51">
        <f>AC48-AC49</f>
        <v>67729.428719999996</v>
      </c>
    </row>
    <row r="51" spans="1:30" customFormat="1" ht="18" customHeight="1" thickTop="1" x14ac:dyDescent="0.4">
      <c r="A51" s="2"/>
      <c r="B51" s="2"/>
      <c r="C51" s="2"/>
      <c r="D51" s="2"/>
      <c r="E51" s="2"/>
      <c r="F51" s="118">
        <v>0.4</v>
      </c>
      <c r="G51" s="120" t="s">
        <v>29</v>
      </c>
      <c r="H51" s="121"/>
      <c r="I51" s="87">
        <f>IF(TVANExiste="Y",(SUMIFS(MontantsArticlesHT,RefsDevisEtDMP,$G51,CodesTVA,"N")+SUMIFS(MontantsArticlesHT,RefsDevisEtDMP,$G51,CodesTVA,"A + N")+SUMIF(UniqueRefDevisEtDMPs,$G51,TaxeAmeublementN))*$F51,"")</f>
        <v>36832.141600000003</v>
      </c>
      <c r="J51" s="88"/>
      <c r="K51" s="34" t="str">
        <f>IF(TVANExiste="Y","N = 20 %","")</f>
        <v>N = 20 %</v>
      </c>
      <c r="L51" s="95">
        <f>IF(TVANExiste="Y",$I51*20%,"")</f>
        <v>7366.4283200000009</v>
      </c>
      <c r="M51" s="96"/>
      <c r="N51" s="124">
        <f>SUM($I51:$J52)+SUM($L51:$M52)</f>
        <v>44198.569920000002</v>
      </c>
      <c r="O51" s="125"/>
      <c r="P51" s="45"/>
      <c r="Q51" s="45"/>
      <c r="R51" s="45"/>
      <c r="S51" s="45"/>
      <c r="T51" s="43"/>
      <c r="U51" s="43"/>
      <c r="V51" s="43"/>
      <c r="W51" s="43"/>
      <c r="X51" s="43"/>
      <c r="AB51" s="15"/>
      <c r="AC51" s="2"/>
    </row>
    <row r="52" spans="1:30" customFormat="1" ht="18" customHeight="1" thickBot="1" x14ac:dyDescent="0.45">
      <c r="A52" s="2"/>
      <c r="B52" s="2"/>
      <c r="C52" s="2"/>
      <c r="D52" s="15"/>
      <c r="E52" s="15"/>
      <c r="F52" s="119"/>
      <c r="G52" s="122"/>
      <c r="H52" s="123"/>
      <c r="I52" s="89">
        <f>IF(TVARExiste="Y",(SUMIFS(MontantsArticlesHT,RefsDevisEtDMP,$G51,CodesTVA,"R")+SUMIFS(MontantsArticlesHT,RefsDevisEtDMP,$G51,CodesTVA,"A + R")+SUMIF(UniqueRefDevisEtDMPs,$G51,TaxeAmeublementR))*$F51,"")</f>
        <v>0</v>
      </c>
      <c r="J52" s="90"/>
      <c r="K52" s="36" t="str">
        <f>IF(TVARExiste="Y","R = 10 % *","")</f>
        <v>R = 10 % *</v>
      </c>
      <c r="L52" s="89">
        <f>IF(TVARExiste="Y",$I52*10%,"")</f>
        <v>0</v>
      </c>
      <c r="M52" s="90"/>
      <c r="N52" s="126"/>
      <c r="O52" s="127"/>
      <c r="P52" s="45"/>
      <c r="Q52" s="45"/>
      <c r="R52" s="45"/>
      <c r="S52" s="45"/>
      <c r="T52" s="43"/>
      <c r="U52" s="43"/>
      <c r="V52" s="43"/>
      <c r="W52" s="43"/>
      <c r="X52" s="43"/>
      <c r="AB52" s="50" t="s">
        <v>125</v>
      </c>
      <c r="AC52" s="2" t="str">
        <f>template!$AB$48&amp;" "&amp;TEXT(template!$AC$48,"# ##0,00")&amp;" €"</f>
        <v>Total Devis T.T.C : 120 927,17 €</v>
      </c>
    </row>
    <row r="53" spans="1:30" customFormat="1" ht="18" customHeight="1" thickTop="1" x14ac:dyDescent="0.4">
      <c r="A53" s="2"/>
      <c r="B53" s="2"/>
      <c r="C53" s="2"/>
      <c r="D53" s="15"/>
      <c r="E53" s="15"/>
      <c r="F53" s="132">
        <v>0.8</v>
      </c>
      <c r="G53" s="136" t="s">
        <v>30</v>
      </c>
      <c r="H53" s="137"/>
      <c r="I53" s="93">
        <f>IF(TVANExiste="Y",(SUMIFS(MontantsArticlesHT,RefsDevisEtDMP,$G53,CodesTVA,"N")+SUMIFS(MontantsArticlesHT,RefsDevisEtDMP,$G53,CodesTVA,"A + N")+SUMIF(UniqueRefDevisEtDMPs,$G53,TaxeAmeublementN))*$F53,"")</f>
        <v>908.97199999999998</v>
      </c>
      <c r="J53" s="94"/>
      <c r="K53" s="24" t="str">
        <f>IF(TVANExiste="Y","N = 20 %","")</f>
        <v>N = 20 %</v>
      </c>
      <c r="L53" s="93">
        <f>IF(TVANExiste="Y",$I53*20%,"")</f>
        <v>181.7944</v>
      </c>
      <c r="M53" s="94"/>
      <c r="N53" s="140">
        <f>SUM($I53:$J54)+SUM($L53:$M54)</f>
        <v>1090.7664</v>
      </c>
      <c r="O53" s="141"/>
      <c r="P53" s="45"/>
      <c r="Q53" s="45"/>
      <c r="R53" s="45"/>
      <c r="S53" s="45"/>
      <c r="T53" s="14"/>
      <c r="U53" s="2"/>
      <c r="V53" s="2"/>
      <c r="W53" s="2"/>
      <c r="X53" s="2"/>
      <c r="Y53" s="2"/>
      <c r="Z53" s="15"/>
      <c r="AA53" s="15"/>
      <c r="AB53" s="15"/>
      <c r="AC53" s="2"/>
      <c r="AD53" s="2"/>
    </row>
    <row r="54" spans="1:30" customFormat="1" ht="18" customHeight="1" thickBot="1" x14ac:dyDescent="0.45">
      <c r="A54" s="2"/>
      <c r="B54" s="2"/>
      <c r="C54" s="2"/>
      <c r="D54" s="15"/>
      <c r="E54" s="15"/>
      <c r="F54" s="133"/>
      <c r="G54" s="138"/>
      <c r="H54" s="139"/>
      <c r="I54" s="91">
        <f>IF(TVARExiste="Y",(SUMIFS(MontantsArticlesHT,RefsDevisEtDMP,$G53,CodesTVA,"R")+SUMIFS(MontantsArticlesHT,RefsDevisEtDMP,$G53,CodesTVA,"A + R")+SUMIF(UniqueRefDevisEtDMPs,$G53,TaxeAmeublementR))*$F53,"")</f>
        <v>0</v>
      </c>
      <c r="J54" s="92"/>
      <c r="K54" s="23" t="str">
        <f>IF(TVARExiste="Y","R = 10 % *","")</f>
        <v>R = 10 % *</v>
      </c>
      <c r="L54" s="91">
        <f>IF(TVARExiste="Y",$I54*10%,"")</f>
        <v>0</v>
      </c>
      <c r="M54" s="92"/>
      <c r="N54" s="142"/>
      <c r="O54" s="143"/>
      <c r="P54" s="45"/>
      <c r="Q54" s="45"/>
      <c r="R54" s="45"/>
      <c r="S54" s="45"/>
      <c r="T54" s="14"/>
      <c r="U54" s="2" t="s">
        <v>121</v>
      </c>
      <c r="V54" s="2"/>
      <c r="W54" s="2"/>
      <c r="X54" s="2"/>
      <c r="Y54" s="2"/>
      <c r="Z54" s="15"/>
      <c r="AA54" s="15"/>
      <c r="AB54" s="15"/>
      <c r="AC54" s="2"/>
      <c r="AD54" s="2"/>
    </row>
    <row r="55" spans="1:30" customFormat="1" ht="18" customHeight="1" thickTop="1" x14ac:dyDescent="0.4">
      <c r="A55" s="49"/>
      <c r="B55" s="49"/>
      <c r="C55" s="49"/>
      <c r="D55" s="49"/>
      <c r="E55" s="49"/>
      <c r="F55" s="118">
        <v>0.8</v>
      </c>
      <c r="G55" s="120" t="s">
        <v>31</v>
      </c>
      <c r="H55" s="121"/>
      <c r="I55" s="87">
        <f>IF(TVANExiste="Y",(SUMIFS(MontantsArticlesHT,RefsDevisEtDMP,$G55,CodesTVA,"N")+SUMIFS(MontantsArticlesHT,RefsDevisEtDMP,$G55,CodesTVA,"A + N")+SUMIF(UniqueRefDevisEtDMPs,$G55,TaxeAmeublementN))*$F55,"")</f>
        <v>3862.9408000000003</v>
      </c>
      <c r="J55" s="88"/>
      <c r="K55" s="34" t="str">
        <f>IF(TVANExiste="Y","N = 20 %","")</f>
        <v>N = 20 %</v>
      </c>
      <c r="L55" s="95">
        <f>IF(TVANExiste="Y",$I55*20%,"")</f>
        <v>772.58816000000013</v>
      </c>
      <c r="M55" s="96"/>
      <c r="N55" s="124">
        <f>SUM($I55:$J56)+SUM($L55:$M56)</f>
        <v>4635.5289600000006</v>
      </c>
      <c r="O55" s="125"/>
      <c r="P55" s="49"/>
      <c r="Q55" s="49"/>
      <c r="R55" s="49"/>
      <c r="S55" s="49"/>
      <c r="T55" s="14"/>
      <c r="U55" s="54" t="s">
        <v>112</v>
      </c>
      <c r="V55" s="2"/>
      <c r="W55" s="2"/>
      <c r="X55" s="2"/>
      <c r="Y55" s="2"/>
      <c r="Z55" s="15"/>
      <c r="AA55" s="15"/>
      <c r="AB55" s="15"/>
      <c r="AC55" s="2"/>
      <c r="AD55" s="2"/>
    </row>
    <row r="56" spans="1:30" customFormat="1" ht="18" customHeight="1" thickBot="1" x14ac:dyDescent="0.45">
      <c r="A56" s="49"/>
      <c r="B56" s="49"/>
      <c r="C56" s="49"/>
      <c r="D56" s="49"/>
      <c r="E56" s="49"/>
      <c r="F56" s="119"/>
      <c r="G56" s="122"/>
      <c r="H56" s="123"/>
      <c r="I56" s="89">
        <f>IF(TVARExiste="Y",(SUMIFS(MontantsArticlesHT,RefsDevisEtDMP,$G55,CodesTVA,"R")+SUMIFS(MontantsArticlesHT,RefsDevisEtDMP,$G55,CodesTVA,"A + R")+SUMIF(UniqueRefDevisEtDMPs,$G55,TaxeAmeublementR))*$F55,"")</f>
        <v>0</v>
      </c>
      <c r="J56" s="90"/>
      <c r="K56" s="48" t="str">
        <f>IF(TVARExiste="Y","R = 10 % *","")</f>
        <v>R = 10 % *</v>
      </c>
      <c r="L56" s="89">
        <f>IF(TVARExiste="Y",$I56*10%,"")</f>
        <v>0</v>
      </c>
      <c r="M56" s="90"/>
      <c r="N56" s="126"/>
      <c r="O56" s="127"/>
      <c r="P56" s="49"/>
      <c r="Q56" s="49"/>
      <c r="R56" s="49"/>
      <c r="S56" s="49"/>
      <c r="U56" s="54" t="s">
        <v>116</v>
      </c>
      <c r="V56" s="2"/>
      <c r="W56" s="2"/>
      <c r="X56" s="2"/>
      <c r="Y56" s="2"/>
      <c r="Z56" s="15"/>
      <c r="AA56" s="15"/>
      <c r="AB56" s="15"/>
      <c r="AC56" s="2"/>
      <c r="AD56" s="2"/>
    </row>
    <row r="57" spans="1:30" customFormat="1" ht="18" customHeight="1" thickTop="1" x14ac:dyDescent="0.4">
      <c r="A57" s="49"/>
      <c r="B57" s="49"/>
      <c r="C57" s="49"/>
      <c r="D57" s="49"/>
      <c r="E57" s="49"/>
      <c r="F57" s="132">
        <v>0.8</v>
      </c>
      <c r="G57" s="136" t="s">
        <v>127</v>
      </c>
      <c r="H57" s="137"/>
      <c r="I57" s="93">
        <f>IF(TVANExiste="Y",(SUMIFS(MontantsArticlesHT,RefsDevisEtDMP,$G57,CodesTVA,"N")+SUMIFS(MontantsArticlesHT,RefsDevisEtDMP,$G57,CodesTVA,"A + N")+SUMIF(UniqueRefDevisEtDMPs,$G57,TaxeAmeublementN))*$F57,"")</f>
        <v>0</v>
      </c>
      <c r="J57" s="94"/>
      <c r="K57" s="24" t="str">
        <f>IF(TVANExiste="Y","N = 20 %","")</f>
        <v>N = 20 %</v>
      </c>
      <c r="L57" s="93">
        <f>IF(TVANExiste="Y",$I57*20%,"")</f>
        <v>0</v>
      </c>
      <c r="M57" s="94"/>
      <c r="N57" s="140">
        <f>SUM($I57:$J58)+SUM($L57:$M58)</f>
        <v>2186.3283200000001</v>
      </c>
      <c r="O57" s="141"/>
      <c r="P57" s="49"/>
      <c r="Q57" s="49"/>
      <c r="R57" s="49"/>
      <c r="S57" s="49"/>
      <c r="U57" s="22" t="s">
        <v>117</v>
      </c>
      <c r="V57" s="22"/>
      <c r="W57" s="22"/>
      <c r="X57" s="22"/>
      <c r="Y57" s="22"/>
      <c r="Z57" s="22"/>
      <c r="AA57" s="22"/>
      <c r="AB57" s="15"/>
      <c r="AC57" s="22"/>
      <c r="AD57" s="22"/>
    </row>
    <row r="58" spans="1:30" customFormat="1" ht="18" customHeight="1" thickBot="1" x14ac:dyDescent="0.45">
      <c r="A58" s="49"/>
      <c r="B58" s="49"/>
      <c r="C58" s="49"/>
      <c r="D58" s="49"/>
      <c r="E58" s="49"/>
      <c r="F58" s="133"/>
      <c r="G58" s="138"/>
      <c r="H58" s="139"/>
      <c r="I58" s="91">
        <f>IF(TVARExiste="Y",(SUMIFS(MontantsArticlesHT,RefsDevisEtDMP,$G57,CodesTVA,"R")+SUMIFS(MontantsArticlesHT,RefsDevisEtDMP,$G57,CodesTVA,"A + R")+SUMIF(UniqueRefDevisEtDMPs,$G57,TaxeAmeublementR))*$F57,"")</f>
        <v>1987.5712000000001</v>
      </c>
      <c r="J58" s="92"/>
      <c r="K58" s="23" t="str">
        <f>IF(TVARExiste="Y","R = 10 % *","")</f>
        <v>R = 10 % *</v>
      </c>
      <c r="L58" s="91">
        <f>IF(TVARExiste="Y",$I58*10%,"")</f>
        <v>198.75712000000001</v>
      </c>
      <c r="M58" s="92"/>
      <c r="N58" s="142"/>
      <c r="O58" s="143"/>
      <c r="P58" s="49"/>
      <c r="Q58" s="49"/>
      <c r="R58" s="49"/>
      <c r="S58" s="49"/>
      <c r="T58" s="14"/>
      <c r="U58" s="54" t="s">
        <v>118</v>
      </c>
      <c r="V58" s="2"/>
      <c r="W58" s="2"/>
      <c r="X58" s="2"/>
      <c r="Y58" s="2"/>
      <c r="Z58" s="15"/>
      <c r="AA58" s="15"/>
      <c r="AB58" s="15"/>
      <c r="AC58" s="2"/>
      <c r="AD58" s="2"/>
    </row>
    <row r="59" spans="1:30" customFormat="1" ht="18" customHeight="1" thickTop="1" x14ac:dyDescent="0.4">
      <c r="A59" s="59"/>
      <c r="B59" s="59"/>
      <c r="C59" s="59"/>
      <c r="D59" s="59"/>
      <c r="E59" s="59"/>
      <c r="F59" s="118">
        <v>0.2</v>
      </c>
      <c r="G59" s="120" t="s">
        <v>127</v>
      </c>
      <c r="H59" s="121"/>
      <c r="I59" s="87">
        <f>IF(TVANExiste="Y",(SUMIFS(MontantsArticlesHT,RefsDevisEtDMP,$G59,CodesTVA,"N")+SUMIFS(MontantsArticlesHT,RefsDevisEtDMP,$G59,CodesTVA,"A + N")+SUMIF(UniqueRefDevisEtDMPs,$G59,TaxeAmeublementN))*$F59,"")</f>
        <v>0</v>
      </c>
      <c r="J59" s="88"/>
      <c r="K59" s="34" t="str">
        <f>IF(TVANExiste="Y","N = 20 %","")</f>
        <v>N = 20 %</v>
      </c>
      <c r="L59" s="95">
        <f>IF(TVANExiste="Y",$I59*20%,"")</f>
        <v>0</v>
      </c>
      <c r="M59" s="96"/>
      <c r="N59" s="124">
        <f>SUM($I59:$J60)+SUM($L59:$M60)</f>
        <v>546.58208000000002</v>
      </c>
      <c r="O59" s="125"/>
      <c r="P59" s="59"/>
      <c r="Q59" s="59"/>
      <c r="R59" s="59"/>
      <c r="S59" s="59"/>
      <c r="T59" s="14"/>
      <c r="U59" s="55" t="s">
        <v>119</v>
      </c>
      <c r="V59" s="2"/>
      <c r="W59" s="2"/>
      <c r="X59" s="2"/>
      <c r="Y59" s="2"/>
      <c r="Z59" s="15"/>
      <c r="AA59" s="15"/>
      <c r="AB59" s="15"/>
      <c r="AC59" s="2"/>
      <c r="AD59" s="2"/>
    </row>
    <row r="60" spans="1:30" customFormat="1" ht="18" customHeight="1" thickBot="1" x14ac:dyDescent="0.45">
      <c r="A60" s="59"/>
      <c r="B60" s="59"/>
      <c r="C60" s="59"/>
      <c r="D60" s="59"/>
      <c r="E60" s="59"/>
      <c r="F60" s="119"/>
      <c r="G60" s="122"/>
      <c r="H60" s="123"/>
      <c r="I60" s="89">
        <f>IF(TVARExiste="Y",(SUMIFS(MontantsArticlesHT,RefsDevisEtDMP,$G59,CodesTVA,"R")+SUMIFS(MontantsArticlesHT,RefsDevisEtDMP,$G59,CodesTVA,"A + R")+SUMIF(UniqueRefDevisEtDMPs,$G59,TaxeAmeublementR))*$F59,"")</f>
        <v>496.89280000000002</v>
      </c>
      <c r="J60" s="90"/>
      <c r="K60" s="57" t="str">
        <f>IF(TVARExiste="Y","R = 10 % *","")</f>
        <v>R = 10 % *</v>
      </c>
      <c r="L60" s="89">
        <f>IF(TVARExiste="Y",$I60*10%,"")</f>
        <v>49.689280000000004</v>
      </c>
      <c r="M60" s="90"/>
      <c r="N60" s="126"/>
      <c r="O60" s="127"/>
      <c r="P60" s="59"/>
      <c r="Q60" s="59"/>
      <c r="R60" s="59"/>
      <c r="S60" s="59"/>
      <c r="T60" s="14"/>
      <c r="U60" s="54" t="s">
        <v>120</v>
      </c>
      <c r="V60" s="2"/>
      <c r="W60" s="2"/>
      <c r="X60" s="2"/>
      <c r="Y60" s="2"/>
      <c r="Z60" s="15"/>
      <c r="AA60" s="15"/>
      <c r="AB60" s="15"/>
      <c r="AC60" s="2"/>
      <c r="AD60" s="2"/>
    </row>
    <row r="61" spans="1:30" customFormat="1" ht="18" customHeight="1" thickTop="1" x14ac:dyDescent="0.4">
      <c r="A61" s="60"/>
      <c r="B61" s="60"/>
      <c r="C61" s="60"/>
      <c r="D61" s="60"/>
      <c r="E61" s="60"/>
      <c r="F61" s="132">
        <v>1</v>
      </c>
      <c r="G61" s="136" t="s">
        <v>139</v>
      </c>
      <c r="H61" s="137"/>
      <c r="I61" s="93">
        <f>IF(TVANExiste="Y",(SUMIFS(MontantsArticlesHT,RefsDevisEtDMP,$G61,CodesTVA,"N")+SUMIFS(MontantsArticlesHT,RefsDevisEtDMP,$G61,CodesTVA,"A + N")+SUMIF(UniqueRefDevisEtDMPs,$G61,TaxeAmeublementN))*$F61,"")</f>
        <v>0</v>
      </c>
      <c r="J61" s="94"/>
      <c r="K61" s="24" t="str">
        <f>IF(TVANExiste="Y","N = 20 %","")</f>
        <v>N = 20 %</v>
      </c>
      <c r="L61" s="93">
        <f>IF(TVANExiste="Y",$I61*20%,"")</f>
        <v>0</v>
      </c>
      <c r="M61" s="94"/>
      <c r="N61" s="140">
        <f>SUM($I61:$J62)+SUM($L61:$M62)</f>
        <v>539.97019999999998</v>
      </c>
      <c r="O61" s="141"/>
      <c r="P61" s="60"/>
      <c r="Q61" s="60"/>
      <c r="R61" s="60"/>
      <c r="S61" s="60"/>
      <c r="T61" s="22"/>
      <c r="U61" s="56" t="s">
        <v>126</v>
      </c>
      <c r="V61" s="22"/>
      <c r="W61" s="22"/>
      <c r="X61" s="22"/>
      <c r="Y61" s="22"/>
      <c r="Z61" s="22"/>
      <c r="AA61" s="22"/>
      <c r="AB61" s="22"/>
      <c r="AC61" s="22"/>
      <c r="AD61" s="22"/>
    </row>
    <row r="62" spans="1:30" customFormat="1" ht="18" customHeight="1" thickBot="1" x14ac:dyDescent="0.45">
      <c r="A62" s="60"/>
      <c r="B62" s="60"/>
      <c r="C62" s="60"/>
      <c r="D62" s="60"/>
      <c r="E62" s="60"/>
      <c r="F62" s="133"/>
      <c r="G62" s="138"/>
      <c r="H62" s="139"/>
      <c r="I62" s="91">
        <f>IF(TVARExiste="Y",(SUMIFS(MontantsArticlesHT,RefsDevisEtDMP,$G61,CodesTVA,"R")+SUMIFS(MontantsArticlesHT,RefsDevisEtDMP,$G61,CodesTVA,"A + R")+SUMIF(UniqueRefDevisEtDMPs,$G61,TaxeAmeublementR))*$F61,"")</f>
        <v>490.88200000000001</v>
      </c>
      <c r="J62" s="92"/>
      <c r="K62" s="23" t="str">
        <f>IF(TVARExiste="Y","R = 10 % *","")</f>
        <v>R = 10 % *</v>
      </c>
      <c r="L62" s="91">
        <f>IF(TVARExiste="Y",$I62*10%,"")</f>
        <v>49.088200000000001</v>
      </c>
      <c r="M62" s="92"/>
      <c r="N62" s="142"/>
      <c r="O62" s="143"/>
      <c r="P62" s="60"/>
      <c r="Q62" s="60"/>
      <c r="R62" s="60"/>
      <c r="S62" s="60"/>
      <c r="T62" s="14"/>
      <c r="U62" s="54" t="s">
        <v>128</v>
      </c>
    </row>
    <row r="63" spans="1:30" ht="18" customHeight="1" thickTop="1" x14ac:dyDescent="0.4">
      <c r="A63" s="49"/>
      <c r="B63" s="49"/>
      <c r="O63" s="45"/>
      <c r="P63" s="45"/>
      <c r="Q63" s="45"/>
      <c r="R63" s="45"/>
      <c r="S63" s="45"/>
      <c r="U63" s="54" t="s">
        <v>129</v>
      </c>
      <c r="W63" s="43"/>
    </row>
    <row r="64" spans="1:30" ht="18" customHeight="1" x14ac:dyDescent="0.4">
      <c r="A64" s="49"/>
      <c r="B64" s="49"/>
      <c r="C64" s="22"/>
      <c r="H64" s="191" t="str">
        <f ca="1">CONCATENATE("Montant dû sur facture ",$W$6," : ")</f>
        <v xml:space="preserve">Montant dû sur facture FC-2020572 : </v>
      </c>
      <c r="I64" s="191"/>
      <c r="J64" s="191"/>
      <c r="K64" s="191"/>
      <c r="L64" s="190">
        <f>SUM(MontantsTTCAppeles)</f>
        <v>53197.745880000009</v>
      </c>
      <c r="M64" s="190"/>
      <c r="U64" s="2" t="s">
        <v>133</v>
      </c>
      <c r="W64" s="43"/>
    </row>
    <row r="65" spans="1:23" ht="18" customHeight="1" x14ac:dyDescent="0.4">
      <c r="H65" s="191"/>
      <c r="I65" s="191"/>
      <c r="J65" s="191"/>
      <c r="K65" s="191"/>
      <c r="L65" s="190"/>
      <c r="M65" s="190"/>
      <c r="U65" s="2" t="s">
        <v>134</v>
      </c>
      <c r="W65" s="43"/>
    </row>
    <row r="66" spans="1:23" s="22" customFormat="1" ht="18" customHeight="1" x14ac:dyDescent="0.4">
      <c r="H66" s="146" t="str">
        <f>IF(TVANExiste="Y","** dont Total T.V.A (N) 20 % : ","")</f>
        <v xml:space="preserve">** dont Total T.V.A (N) 20 % : </v>
      </c>
      <c r="I66" s="146"/>
      <c r="J66" s="146"/>
      <c r="K66" s="146"/>
      <c r="L66" s="135">
        <f>IF(TVANExiste="Y",SUMIF(TauxTVAAppeles,"N = 20 %",MontantsTVAAppeles),"")</f>
        <v>8320.8108800000009</v>
      </c>
      <c r="M66" s="135"/>
      <c r="O66" s="2"/>
      <c r="P66" s="2"/>
      <c r="Q66" s="2"/>
      <c r="R66" s="2"/>
      <c r="S66" s="2"/>
      <c r="U66" s="22" t="s">
        <v>135</v>
      </c>
    </row>
    <row r="67" spans="1:23" s="22" customFormat="1" ht="18" customHeight="1" x14ac:dyDescent="0.4">
      <c r="C67" s="2"/>
      <c r="D67" s="2"/>
      <c r="E67" s="2"/>
      <c r="F67" s="2"/>
      <c r="G67" s="2"/>
      <c r="H67" s="147" t="str">
        <f>IF(TVARExiste="Y","** dont Total T.V.A Réduit (R) 10 % : ","")</f>
        <v xml:space="preserve">** dont Total T.V.A Réduit (R) 10 % : </v>
      </c>
      <c r="I67" s="147"/>
      <c r="J67" s="147"/>
      <c r="K67" s="147"/>
      <c r="L67" s="135">
        <f>IF(TVARExiste="Y",SUMIF(TauxTVAAppeles,"R = 10 % *",MontantsTVAAppeles),"")</f>
        <v>297.53460000000001</v>
      </c>
      <c r="M67" s="135"/>
      <c r="N67" s="2"/>
      <c r="O67" s="2"/>
      <c r="P67" s="2"/>
      <c r="Q67" s="2"/>
      <c r="R67" s="2"/>
      <c r="S67" s="2"/>
      <c r="U67" s="22" t="s">
        <v>138</v>
      </c>
    </row>
    <row r="68" spans="1:23" ht="18" customHeight="1" x14ac:dyDescent="0.4">
      <c r="A68" s="21"/>
      <c r="B68" s="21"/>
      <c r="H68" s="145" t="str">
        <f>IF(TaxeAmeublementExiste="Y","** dont Taxe d'ameublement (A) 0,18% : ","")</f>
        <v xml:space="preserve">** dont Taxe d'ameublement (A) 0,18% : </v>
      </c>
      <c r="I68" s="145"/>
      <c r="J68" s="145"/>
      <c r="K68" s="145"/>
      <c r="L68" s="134">
        <f>IF(TaxeAmeublementExiste="Y",$F$51*(SUMIF(UniqueRefDevisEtDMPs,$G$51,TaxeAmeublementN)+SUMIF(UniqueRefDevisEtDMPs,$G$51,TaxeAmeublementR))+$F$53*(SUMIF(UniqueRefDevisEtDMPs,$G$53,TaxeAmeublementN)+SUMIF(UniqueRefDevisEtDMPs,$G$53,TaxeAmeublementR))+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,"")</f>
        <v>73.400400000000005</v>
      </c>
      <c r="M68" s="134"/>
      <c r="U68" s="2" t="s">
        <v>144</v>
      </c>
    </row>
    <row r="69" spans="1:23" ht="18" customHeight="1" x14ac:dyDescent="0.4">
      <c r="A69"/>
      <c r="B69"/>
      <c r="C69" s="45"/>
      <c r="D69" s="45"/>
      <c r="E69" s="45"/>
      <c r="F69" s="45"/>
      <c r="G69" s="45"/>
      <c r="H69" s="47"/>
      <c r="I69" s="47"/>
      <c r="J69" s="47"/>
      <c r="K69" s="47"/>
      <c r="L69" s="46"/>
      <c r="M69" s="46"/>
      <c r="N69" s="45"/>
      <c r="O69" s="45"/>
      <c r="P69" s="45"/>
      <c r="Q69" s="45"/>
      <c r="R69" s="45"/>
      <c r="S69" s="45"/>
      <c r="U69" s="43" t="s">
        <v>113</v>
      </c>
      <c r="V69" s="43"/>
    </row>
    <row r="70" spans="1:23" ht="18" customHeight="1" x14ac:dyDescent="0.4">
      <c r="A70"/>
      <c r="B70"/>
      <c r="C70" s="45"/>
      <c r="D70" s="45"/>
      <c r="E70" s="45"/>
      <c r="F70" s="45"/>
      <c r="G70" s="45"/>
      <c r="H70" s="47"/>
      <c r="I70" s="47"/>
      <c r="J70" s="47"/>
      <c r="K70" s="47"/>
      <c r="L70" s="46"/>
      <c r="M70" s="46"/>
      <c r="N70" s="45"/>
      <c r="O70" s="45"/>
      <c r="P70" s="45"/>
      <c r="Q70" s="45"/>
      <c r="R70" s="45"/>
      <c r="S70" s="45"/>
      <c r="U70" s="43"/>
      <c r="V70" s="43" t="s">
        <v>114</v>
      </c>
    </row>
    <row r="71" spans="1:23" ht="18" customHeight="1" x14ac:dyDescent="0.4">
      <c r="A71"/>
      <c r="B71"/>
      <c r="C71" s="45"/>
      <c r="D71" s="45"/>
      <c r="E71" s="45"/>
      <c r="F71" s="45"/>
      <c r="G71" s="45"/>
      <c r="H71" s="47"/>
      <c r="I71" s="47"/>
      <c r="J71" s="47"/>
      <c r="K71" s="47"/>
      <c r="L71" s="46"/>
      <c r="M71" s="46"/>
      <c r="N71" s="45"/>
      <c r="O71" s="45"/>
      <c r="P71" s="45"/>
      <c r="Q71" s="45"/>
      <c r="R71" s="45"/>
      <c r="S71" s="45"/>
      <c r="U71" s="43"/>
      <c r="V71" s="43" t="s">
        <v>115</v>
      </c>
    </row>
    <row r="72" spans="1:23" ht="18" customHeight="1" x14ac:dyDescent="0.4">
      <c r="A72"/>
      <c r="B72"/>
      <c r="C72" s="45"/>
      <c r="D72" s="45"/>
      <c r="E72" s="45"/>
      <c r="F72" s="45"/>
      <c r="G72" s="45"/>
      <c r="H72" s="47"/>
      <c r="I72" s="47"/>
      <c r="J72" s="47"/>
      <c r="K72" s="47"/>
      <c r="L72" s="46"/>
      <c r="M72" s="46"/>
      <c r="N72" s="45"/>
      <c r="O72" s="45"/>
      <c r="P72" s="45"/>
      <c r="Q72" s="45"/>
      <c r="R72" s="45"/>
      <c r="S72" s="45"/>
    </row>
    <row r="73" spans="1:23" ht="18" customHeight="1" x14ac:dyDescent="0.4">
      <c r="A73"/>
      <c r="B73"/>
      <c r="C73" s="45"/>
      <c r="D73" s="45"/>
      <c r="E73" s="45"/>
      <c r="F73" s="45"/>
      <c r="G73" s="45"/>
      <c r="H73" s="47"/>
      <c r="I73" s="47"/>
      <c r="J73" s="47"/>
      <c r="K73" s="47"/>
      <c r="L73" s="46"/>
      <c r="M73" s="46"/>
      <c r="N73" s="45"/>
      <c r="O73" s="45"/>
      <c r="P73" s="45"/>
      <c r="Q73" s="45"/>
      <c r="R73" s="45"/>
      <c r="S73" s="45"/>
    </row>
    <row r="74" spans="1:23" ht="18" customHeight="1" x14ac:dyDescent="0.4">
      <c r="A74"/>
      <c r="B74"/>
      <c r="C74" s="45"/>
      <c r="D74" s="45"/>
      <c r="E74" s="45"/>
      <c r="F74" s="45"/>
      <c r="G74" s="45"/>
      <c r="H74" s="47"/>
      <c r="I74" s="47"/>
      <c r="J74" s="47"/>
      <c r="K74" s="47"/>
      <c r="L74" s="46"/>
      <c r="M74" s="46"/>
      <c r="N74" s="45"/>
      <c r="O74" s="45"/>
      <c r="P74" s="45"/>
      <c r="Q74" s="45"/>
      <c r="R74" s="45"/>
      <c r="S74" s="45"/>
    </row>
    <row r="75" spans="1:23" ht="18" customHeight="1" x14ac:dyDescent="0.4">
      <c r="A75"/>
      <c r="B75"/>
      <c r="C75" s="45"/>
      <c r="D75" s="45"/>
      <c r="E75" s="45"/>
      <c r="F75" s="45"/>
      <c r="G75" s="45"/>
      <c r="H75" s="47"/>
      <c r="I75" s="47"/>
      <c r="J75" s="47"/>
      <c r="K75" s="47"/>
      <c r="L75" s="46"/>
      <c r="M75" s="46"/>
      <c r="N75" s="45"/>
      <c r="O75" s="45"/>
      <c r="P75" s="45"/>
      <c r="Q75" s="45"/>
      <c r="R75" s="45"/>
      <c r="S75" s="45"/>
    </row>
    <row r="76" spans="1:23" ht="18" customHeight="1" x14ac:dyDescent="0.4">
      <c r="A76"/>
      <c r="B76"/>
      <c r="C76" s="45"/>
      <c r="D76" s="45"/>
      <c r="E76" s="45"/>
      <c r="F76" s="45"/>
      <c r="G76" s="45"/>
      <c r="H76" s="47"/>
      <c r="I76" s="47"/>
      <c r="J76" s="47"/>
      <c r="K76" s="47"/>
      <c r="L76" s="46"/>
      <c r="M76" s="46"/>
      <c r="N76" s="45"/>
      <c r="O76" s="45"/>
      <c r="P76" s="45"/>
      <c r="Q76" s="45"/>
      <c r="R76" s="45"/>
      <c r="S76" s="45"/>
    </row>
    <row r="77" spans="1:23" ht="18" customHeight="1" x14ac:dyDescent="0.4">
      <c r="A77"/>
      <c r="B77"/>
      <c r="C77" s="45"/>
      <c r="D77" s="45"/>
      <c r="E77" s="45"/>
      <c r="F77" s="45"/>
      <c r="G77" s="45"/>
      <c r="H77" s="47"/>
      <c r="I77" s="47"/>
      <c r="J77" s="47"/>
      <c r="K77" s="47"/>
      <c r="L77" s="46"/>
      <c r="M77" s="46"/>
      <c r="N77" s="45"/>
      <c r="O77" s="45"/>
      <c r="P77" s="45"/>
      <c r="Q77" s="45"/>
      <c r="R77" s="45"/>
      <c r="S77" s="45"/>
    </row>
    <row r="78" spans="1:23" ht="18" customHeight="1" x14ac:dyDescent="0.4">
      <c r="A78"/>
      <c r="B78"/>
      <c r="C78" s="45"/>
      <c r="D78" s="45"/>
      <c r="E78" s="45"/>
      <c r="F78" s="45"/>
      <c r="G78" s="45"/>
      <c r="H78" s="47"/>
      <c r="I78" s="47"/>
      <c r="J78" s="47"/>
      <c r="K78" s="47"/>
      <c r="L78" s="46"/>
      <c r="M78" s="46"/>
      <c r="N78" s="45"/>
      <c r="O78" s="45"/>
      <c r="P78" s="45"/>
      <c r="Q78" s="45"/>
      <c r="R78" s="45"/>
      <c r="S78" s="45"/>
    </row>
    <row r="79" spans="1:23" ht="18" customHeight="1" x14ac:dyDescent="0.4">
      <c r="A79"/>
      <c r="B79"/>
      <c r="C79" s="45"/>
      <c r="D79" s="45"/>
      <c r="E79" s="45"/>
      <c r="F79" s="45"/>
      <c r="G79" s="45"/>
      <c r="H79" s="47"/>
      <c r="I79" s="47"/>
      <c r="J79" s="47"/>
      <c r="K79" s="47"/>
      <c r="L79" s="46"/>
      <c r="M79" s="46"/>
      <c r="N79" s="45"/>
      <c r="O79" s="45"/>
      <c r="P79" s="45"/>
      <c r="Q79" s="45"/>
      <c r="R79" s="45"/>
      <c r="S79" s="45"/>
    </row>
    <row r="80" spans="1:23" ht="18" customHeight="1" x14ac:dyDescent="0.4">
      <c r="A80"/>
      <c r="B80"/>
      <c r="C80" s="45"/>
      <c r="D80" s="45"/>
      <c r="E80" s="45"/>
      <c r="F80" s="45"/>
      <c r="G80" s="45"/>
      <c r="H80" s="47"/>
      <c r="I80" s="47"/>
      <c r="J80" s="47"/>
      <c r="K80" s="47"/>
      <c r="L80" s="46"/>
      <c r="M80" s="46"/>
      <c r="N80" s="45"/>
      <c r="O80" s="45"/>
      <c r="P80" s="45"/>
      <c r="Q80" s="45"/>
      <c r="R80" s="45"/>
      <c r="S80" s="45"/>
    </row>
    <row r="81" spans="1:27" ht="18" customHeight="1" x14ac:dyDescent="0.4">
      <c r="A81"/>
      <c r="B81"/>
      <c r="C81" s="45"/>
      <c r="D81" s="45"/>
      <c r="E81" s="45"/>
      <c r="F81" s="45"/>
      <c r="G81" s="45"/>
      <c r="H81" s="47"/>
      <c r="I81" s="47"/>
      <c r="J81" s="47"/>
      <c r="K81" s="47"/>
      <c r="L81" s="46"/>
      <c r="M81" s="46"/>
      <c r="N81" s="45"/>
      <c r="O81" s="45"/>
      <c r="P81" s="45"/>
      <c r="Q81" s="45"/>
      <c r="R81" s="45"/>
      <c r="S81" s="45"/>
    </row>
    <row r="82" spans="1:27" ht="18" customHeight="1" x14ac:dyDescent="0.4">
      <c r="A82"/>
      <c r="B82"/>
      <c r="C82" s="45"/>
      <c r="D82" s="45"/>
      <c r="E82" s="45"/>
      <c r="F82" s="45"/>
      <c r="G82" s="45"/>
      <c r="H82" s="47"/>
      <c r="I82" s="47"/>
      <c r="J82" s="47"/>
      <c r="K82" s="47"/>
      <c r="L82" s="46"/>
      <c r="M82" s="46"/>
      <c r="N82" s="45"/>
      <c r="O82" s="45"/>
      <c r="P82" s="45"/>
      <c r="Q82" s="45"/>
      <c r="R82" s="45"/>
      <c r="S82" s="45"/>
      <c r="T82" s="22"/>
    </row>
    <row r="83" spans="1:27" ht="18" customHeight="1" x14ac:dyDescent="0.4">
      <c r="A83"/>
      <c r="B83"/>
      <c r="C83" s="45"/>
      <c r="D83" s="45"/>
      <c r="E83" s="45"/>
      <c r="F83" s="45"/>
      <c r="G83" s="45"/>
      <c r="H83" s="47"/>
      <c r="I83" s="47"/>
      <c r="J83" s="47"/>
      <c r="K83" s="47"/>
      <c r="L83" s="46"/>
      <c r="M83" s="46"/>
      <c r="N83" s="45"/>
      <c r="O83" s="45"/>
      <c r="P83" s="45"/>
      <c r="Q83" s="45"/>
      <c r="R83" s="45"/>
      <c r="S83" s="45"/>
    </row>
    <row r="84" spans="1:27" ht="18" customHeight="1" x14ac:dyDescent="0.4">
      <c r="A84"/>
      <c r="B84"/>
      <c r="C84" s="45"/>
      <c r="D84" s="45"/>
      <c r="E84" s="45"/>
      <c r="F84" s="45"/>
      <c r="G84" s="45"/>
      <c r="H84" s="47"/>
      <c r="I84" s="47"/>
      <c r="J84" s="47"/>
      <c r="K84" s="47"/>
      <c r="L84" s="46"/>
      <c r="M84" s="46"/>
      <c r="N84" s="45"/>
      <c r="O84" s="45"/>
      <c r="P84" s="45"/>
      <c r="Q84" s="45"/>
      <c r="R84" s="45"/>
      <c r="S84" s="45"/>
      <c r="T84" s="22"/>
    </row>
    <row r="85" spans="1:27" ht="18" customHeight="1" x14ac:dyDescent="0.4">
      <c r="A85"/>
      <c r="B85"/>
      <c r="C85" s="45"/>
      <c r="D85" s="45"/>
      <c r="E85" s="45"/>
      <c r="F85" s="45"/>
      <c r="G85" s="45"/>
      <c r="H85" s="47"/>
      <c r="I85" s="47"/>
      <c r="J85" s="47"/>
      <c r="K85" s="47"/>
      <c r="L85" s="46"/>
      <c r="M85" s="46"/>
      <c r="N85" s="45"/>
      <c r="O85" s="45"/>
      <c r="P85" s="45"/>
      <c r="Q85" s="45"/>
      <c r="R85" s="45"/>
      <c r="S85" s="45"/>
    </row>
    <row r="86" spans="1:27" s="22" customFormat="1" ht="18" customHeight="1" x14ac:dyDescent="0.4">
      <c r="A86"/>
      <c r="B86"/>
      <c r="C86" s="45"/>
      <c r="D86" s="45"/>
      <c r="E86" s="45"/>
      <c r="F86" s="45"/>
      <c r="G86" s="45"/>
      <c r="H86" s="47"/>
      <c r="I86" s="47"/>
      <c r="J86" s="47"/>
      <c r="K86" s="47"/>
      <c r="L86" s="46"/>
      <c r="M86" s="46"/>
      <c r="N86" s="45"/>
      <c r="O86" s="45"/>
      <c r="P86" s="45"/>
      <c r="Q86" s="45"/>
      <c r="R86" s="45"/>
      <c r="S86" s="45"/>
      <c r="T86" s="14"/>
    </row>
    <row r="87" spans="1:27" ht="18" customHeight="1" x14ac:dyDescent="0.4">
      <c r="A87"/>
      <c r="B87"/>
      <c r="C87" s="45"/>
      <c r="D87" s="45"/>
      <c r="E87" s="45"/>
      <c r="F87" s="45"/>
      <c r="G87" s="45"/>
      <c r="H87" s="47"/>
      <c r="I87" s="47"/>
      <c r="J87" s="47"/>
      <c r="K87" s="47"/>
      <c r="L87" s="46"/>
      <c r="M87" s="46"/>
      <c r="N87" s="45"/>
      <c r="O87" s="45"/>
      <c r="P87" s="45"/>
      <c r="Q87" s="45"/>
      <c r="R87" s="45"/>
      <c r="S87" s="45"/>
    </row>
    <row r="88" spans="1:27" s="22" customFormat="1" ht="18" customHeight="1" x14ac:dyDescent="0.4">
      <c r="A88"/>
      <c r="B88"/>
      <c r="C88" s="45"/>
      <c r="D88" s="45"/>
      <c r="E88" s="45"/>
      <c r="F88" s="45"/>
      <c r="G88" s="45"/>
      <c r="H88" s="47"/>
      <c r="I88" s="47"/>
      <c r="J88" s="47"/>
      <c r="K88" s="47"/>
      <c r="L88" s="46"/>
      <c r="M88" s="46"/>
      <c r="N88" s="45"/>
      <c r="O88" s="45"/>
      <c r="P88" s="45"/>
      <c r="Q88" s="45"/>
      <c r="R88" s="45"/>
      <c r="S88" s="45"/>
      <c r="T88" s="14"/>
    </row>
    <row r="89" spans="1:27" ht="19.2" x14ac:dyDescent="0.4">
      <c r="A89"/>
      <c r="B89"/>
      <c r="C89" s="45"/>
      <c r="D89" s="45"/>
      <c r="E89" s="45"/>
      <c r="F89" s="45"/>
      <c r="G89" s="45"/>
      <c r="H89" s="47"/>
      <c r="I89" s="47"/>
      <c r="J89" s="47"/>
      <c r="K89" s="47"/>
      <c r="L89" s="46"/>
      <c r="M89" s="46"/>
      <c r="N89" s="45"/>
      <c r="O89" s="45"/>
      <c r="P89" s="45"/>
      <c r="Q89" s="45"/>
      <c r="R89" s="45"/>
      <c r="S89" s="45"/>
    </row>
    <row r="90" spans="1:27" ht="19.2" x14ac:dyDescent="0.4">
      <c r="A90"/>
      <c r="B90"/>
      <c r="C90" s="42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0" s="22"/>
      <c r="E90" s="22"/>
      <c r="F90" s="22"/>
      <c r="G90" s="22"/>
      <c r="H90" s="29"/>
      <c r="M90" s="28"/>
      <c r="N90" s="22"/>
      <c r="O90" s="22"/>
    </row>
    <row r="91" spans="1:27" x14ac:dyDescent="0.4">
      <c r="A91"/>
      <c r="B91"/>
      <c r="C91" s="187" t="s">
        <v>81</v>
      </c>
      <c r="D91" s="187"/>
      <c r="E91" s="187"/>
      <c r="F91" s="187"/>
      <c r="G91"/>
      <c r="H91"/>
      <c r="P91" s="110" t="s">
        <v>83</v>
      </c>
      <c r="Q91" s="111"/>
      <c r="R91" s="194">
        <f>R8</f>
        <v>2</v>
      </c>
      <c r="S91" s="195"/>
      <c r="Z91" s="59"/>
      <c r="AA91" s="59"/>
    </row>
    <row r="92" spans="1:27" x14ac:dyDescent="0.4">
      <c r="A92"/>
      <c r="B92"/>
      <c r="C92" s="187"/>
      <c r="D92" s="187"/>
      <c r="E92" s="187"/>
      <c r="F92" s="187"/>
      <c r="G92"/>
      <c r="H92"/>
      <c r="P92" s="166" t="s">
        <v>84</v>
      </c>
      <c r="Q92" s="167"/>
      <c r="R92" s="196" t="str">
        <f ca="1">R9</f>
        <v>FC-2020572</v>
      </c>
      <c r="S92" s="197"/>
      <c r="Z92" s="59"/>
      <c r="AA92" s="59"/>
    </row>
    <row r="93" spans="1:27" ht="17.399999999999999" customHeight="1" x14ac:dyDescent="0.4">
      <c r="A93"/>
      <c r="B93"/>
      <c r="C93" s="187"/>
      <c r="D93" s="187"/>
      <c r="E93" s="187"/>
      <c r="F93" s="187"/>
      <c r="G93"/>
      <c r="H93"/>
      <c r="P93" s="166"/>
      <c r="Q93" s="167"/>
      <c r="R93" s="196"/>
      <c r="S93" s="197"/>
      <c r="Z93" s="59"/>
      <c r="AA93" s="59"/>
    </row>
    <row r="94" spans="1:27" ht="17.399999999999999" customHeight="1" x14ac:dyDescent="0.4">
      <c r="C94"/>
      <c r="D94"/>
      <c r="E94"/>
      <c r="F94"/>
      <c r="G94"/>
      <c r="H94"/>
      <c r="P94" s="188"/>
      <c r="Q94" s="189"/>
      <c r="R94" s="194"/>
      <c r="S94" s="195"/>
    </row>
    <row r="95" spans="1:27" ht="17.399999999999999" customHeight="1" x14ac:dyDescent="0.4">
      <c r="C95"/>
      <c r="D95"/>
      <c r="E95"/>
      <c r="F95"/>
      <c r="G95"/>
      <c r="H95"/>
      <c r="I95"/>
      <c r="J95"/>
    </row>
    <row r="96" spans="1:27" ht="17.399999999999999" customHeight="1" x14ac:dyDescent="0.4">
      <c r="A96" s="22"/>
      <c r="B96" s="22"/>
      <c r="C96"/>
      <c r="D96"/>
      <c r="E96"/>
      <c r="F96"/>
      <c r="G96"/>
      <c r="H96"/>
      <c r="I96"/>
      <c r="J96"/>
      <c r="K96" s="22"/>
      <c r="L96" s="22"/>
      <c r="M96" s="22"/>
      <c r="N96" s="22"/>
      <c r="O96" s="22"/>
      <c r="P96" s="22"/>
      <c r="Q96" s="22"/>
      <c r="R96" s="22"/>
      <c r="S96" s="22"/>
    </row>
    <row r="97" spans="1:19" ht="17.399999999999999" customHeight="1" x14ac:dyDescent="0.4">
      <c r="A97"/>
      <c r="B97"/>
      <c r="C97" s="14" t="str">
        <f t="shared" ref="C97:D101" si="0">C12</f>
        <v>Selon devis</v>
      </c>
      <c r="D97" s="103" t="str">
        <f t="shared" si="0"/>
        <v>D.201107.02</v>
      </c>
      <c r="E97" s="103"/>
      <c r="F97" s="104" t="str">
        <f>F12</f>
        <v>du : 28/01/2021</v>
      </c>
      <c r="G97" s="104"/>
      <c r="H97" s="14" t="str">
        <f>H12</f>
        <v>Montant T.T.C : 110 496,42€ T.T.C</v>
      </c>
      <c r="I97" s="14"/>
      <c r="J97" s="14"/>
      <c r="K97"/>
    </row>
    <row r="98" spans="1:19" ht="17.399999999999999" customHeight="1" x14ac:dyDescent="0.4">
      <c r="A98"/>
      <c r="B98"/>
      <c r="C98" s="14" t="str">
        <f t="shared" si="0"/>
        <v>Selon</v>
      </c>
      <c r="D98" s="103" t="str">
        <f t="shared" si="0"/>
        <v>DMP1.201107.02</v>
      </c>
      <c r="E98" s="103"/>
      <c r="F98" s="104" t="str">
        <f>F13</f>
        <v>du : 9/02/2021</v>
      </c>
      <c r="G98" s="104"/>
      <c r="H98" s="14" t="str">
        <f>H13</f>
        <v>Montant T.T.C : 1 363,46€ T.T.C</v>
      </c>
      <c r="I98" s="14"/>
      <c r="J98" s="14"/>
      <c r="K98"/>
      <c r="L98"/>
      <c r="M98"/>
      <c r="N98"/>
      <c r="O98"/>
    </row>
    <row r="99" spans="1:19" ht="17.399999999999999" customHeight="1" x14ac:dyDescent="0.4">
      <c r="A99"/>
      <c r="B99"/>
      <c r="C99" s="14" t="str">
        <f t="shared" si="0"/>
        <v>Selon</v>
      </c>
      <c r="D99" s="103" t="str">
        <f t="shared" si="0"/>
        <v>DMP2.201107.02</v>
      </c>
      <c r="E99" s="103"/>
      <c r="F99" s="104" t="str">
        <f>F14</f>
        <v>du : 9/02/2021</v>
      </c>
      <c r="G99" s="104"/>
      <c r="H99" s="14" t="str">
        <f>H14</f>
        <v>Montant T.T.C : 1 363,46€ T.T.C</v>
      </c>
      <c r="I99" s="14"/>
      <c r="J99" s="14"/>
      <c r="K99"/>
      <c r="L99"/>
      <c r="M99"/>
      <c r="N99"/>
      <c r="O99"/>
    </row>
    <row r="100" spans="1:19" ht="17.399999999999999" customHeight="1" x14ac:dyDescent="0.4">
      <c r="A100"/>
      <c r="B100"/>
      <c r="C100" s="53" t="str">
        <f t="shared" si="0"/>
        <v>Selon</v>
      </c>
      <c r="D100" s="103" t="str">
        <f t="shared" si="0"/>
        <v>DMP3.201107.02</v>
      </c>
      <c r="E100" s="103"/>
      <c r="F100" s="104" t="str">
        <f>F15</f>
        <v>du : 9/02/2021</v>
      </c>
      <c r="G100" s="104"/>
      <c r="H100" s="53" t="str">
        <f>H15</f>
        <v>Montant T.T.C : 1 363,46€ T.T.C</v>
      </c>
      <c r="I100" s="53"/>
      <c r="J100" s="53"/>
      <c r="K100"/>
      <c r="L100"/>
      <c r="M100"/>
      <c r="N100"/>
      <c r="O100"/>
      <c r="P100" s="53"/>
      <c r="Q100" s="53"/>
      <c r="R100" s="53"/>
      <c r="S100" s="53"/>
    </row>
    <row r="101" spans="1:19" x14ac:dyDescent="0.4">
      <c r="A101"/>
      <c r="B101"/>
      <c r="C101" s="60" t="str">
        <f t="shared" si="0"/>
        <v>Selon</v>
      </c>
      <c r="D101" s="103" t="str">
        <f t="shared" si="0"/>
        <v>DMP4.201107.02</v>
      </c>
      <c r="E101" s="103"/>
      <c r="F101" s="104" t="str">
        <f>F16</f>
        <v>du : 9/02/2021</v>
      </c>
      <c r="G101" s="104"/>
      <c r="H101" s="60" t="str">
        <f>H16</f>
        <v>Montant T.T.C : 1 363,46€ T.T.C</v>
      </c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59"/>
      <c r="D102" s="58"/>
      <c r="E102" s="58"/>
      <c r="F102" s="59"/>
      <c r="G102" s="59"/>
      <c r="H102" s="59"/>
      <c r="I102" s="59"/>
      <c r="J102" s="59"/>
      <c r="K102"/>
      <c r="L102"/>
      <c r="M102"/>
      <c r="N102"/>
      <c r="O102"/>
      <c r="P102" s="59"/>
      <c r="Q102" s="59"/>
      <c r="R102" s="59"/>
      <c r="S102" s="59"/>
    </row>
    <row r="103" spans="1:19" x14ac:dyDescent="0.4">
      <c r="A103"/>
      <c r="B103"/>
      <c r="C103" s="59"/>
      <c r="D103" s="58"/>
      <c r="E103" s="58"/>
      <c r="F103" s="59"/>
      <c r="G103" s="59"/>
      <c r="H103" s="192" t="s">
        <v>87</v>
      </c>
      <c r="I103" s="192"/>
      <c r="J103" s="192" t="s">
        <v>88</v>
      </c>
      <c r="K103" s="192"/>
      <c r="L103" s="192" t="s">
        <v>91</v>
      </c>
      <c r="M103" s="192"/>
      <c r="N103" s="192" t="s">
        <v>89</v>
      </c>
      <c r="O103" s="192"/>
      <c r="P103" s="192"/>
      <c r="Q103" s="192"/>
      <c r="R103" s="193" t="s">
        <v>90</v>
      </c>
      <c r="S103" s="193"/>
    </row>
    <row r="104" spans="1:19" x14ac:dyDescent="0.4">
      <c r="A104"/>
      <c r="B104"/>
      <c r="C104"/>
      <c r="D104"/>
      <c r="E104"/>
      <c r="F104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3"/>
      <c r="S104" s="193"/>
    </row>
    <row r="105" spans="1:19" x14ac:dyDescent="0.4">
      <c r="A105"/>
      <c r="B105"/>
      <c r="C105" s="150" t="s">
        <v>85</v>
      </c>
      <c r="D105" s="151"/>
      <c r="E105" s="154">
        <v>1</v>
      </c>
      <c r="F105" s="154" t="s">
        <v>86</v>
      </c>
      <c r="G105" s="154"/>
      <c r="H105" s="84">
        <v>12000</v>
      </c>
      <c r="I105" s="84"/>
      <c r="J105" s="84">
        <v>30000</v>
      </c>
      <c r="K105" s="84"/>
      <c r="L105" s="82">
        <v>44423</v>
      </c>
      <c r="M105" s="82"/>
      <c r="N105" s="83" t="s">
        <v>92</v>
      </c>
      <c r="O105" s="83"/>
      <c r="P105" s="83"/>
      <c r="Q105" s="83"/>
      <c r="R105" s="84">
        <v>14198.57</v>
      </c>
      <c r="S105" s="84"/>
    </row>
    <row r="106" spans="1:19" x14ac:dyDescent="0.4">
      <c r="A106"/>
      <c r="B106"/>
      <c r="C106" s="152"/>
      <c r="D106" s="153"/>
      <c r="E106" s="154"/>
      <c r="F106" s="154"/>
      <c r="G106" s="154"/>
      <c r="H106" s="84"/>
      <c r="I106" s="84"/>
      <c r="J106" s="84"/>
      <c r="K106" s="84"/>
      <c r="L106" s="82"/>
      <c r="M106" s="82"/>
      <c r="N106" s="83"/>
      <c r="O106" s="83"/>
      <c r="P106" s="83"/>
      <c r="Q106" s="83"/>
      <c r="R106" s="84"/>
      <c r="S106" s="84"/>
    </row>
    <row r="107" spans="1:19" x14ac:dyDescent="0.4">
      <c r="A107"/>
      <c r="B107"/>
      <c r="C107" s="62" t="s">
        <v>85</v>
      </c>
      <c r="D107" s="63"/>
      <c r="E107" s="66">
        <v>2</v>
      </c>
      <c r="F107" s="66" t="s">
        <v>132</v>
      </c>
      <c r="G107" s="66"/>
      <c r="H107" s="67">
        <v>11000</v>
      </c>
      <c r="I107" s="67"/>
      <c r="J107" s="67">
        <v>30000</v>
      </c>
      <c r="K107" s="67"/>
      <c r="L107" s="68">
        <v>44423</v>
      </c>
      <c r="M107" s="68"/>
      <c r="N107" s="69" t="s">
        <v>92</v>
      </c>
      <c r="O107" s="69"/>
      <c r="P107" s="69"/>
      <c r="Q107" s="69"/>
      <c r="R107" s="67">
        <v>14198.57</v>
      </c>
      <c r="S107" s="67"/>
    </row>
    <row r="108" spans="1:19" x14ac:dyDescent="0.4">
      <c r="A108"/>
      <c r="B108"/>
      <c r="C108" s="64"/>
      <c r="D108" s="65"/>
      <c r="E108" s="66"/>
      <c r="F108" s="66"/>
      <c r="G108" s="66"/>
      <c r="H108" s="67"/>
      <c r="I108" s="67"/>
      <c r="J108" s="67"/>
      <c r="K108" s="67"/>
      <c r="L108" s="68"/>
      <c r="M108" s="68"/>
      <c r="N108" s="69"/>
      <c r="O108" s="69"/>
      <c r="P108" s="69"/>
      <c r="Q108" s="69"/>
      <c r="R108" s="67"/>
      <c r="S108" s="67"/>
    </row>
    <row r="109" spans="1:19" x14ac:dyDescent="0.4">
      <c r="A109"/>
      <c r="B109"/>
      <c r="C109" s="150" t="s">
        <v>85</v>
      </c>
      <c r="D109" s="151"/>
      <c r="E109" s="154">
        <v>3</v>
      </c>
      <c r="F109" s="154"/>
      <c r="G109" s="154"/>
      <c r="H109" s="84">
        <v>43000</v>
      </c>
      <c r="I109" s="84"/>
      <c r="J109" s="84"/>
      <c r="K109" s="84"/>
      <c r="L109" s="82"/>
      <c r="M109" s="82"/>
      <c r="N109" s="83"/>
      <c r="O109" s="83"/>
      <c r="P109" s="83"/>
      <c r="Q109" s="83"/>
      <c r="R109" s="84">
        <v>10000</v>
      </c>
      <c r="S109" s="84"/>
    </row>
    <row r="110" spans="1:19" x14ac:dyDescent="0.4">
      <c r="A110"/>
      <c r="B110"/>
      <c r="C110" s="152"/>
      <c r="D110" s="153"/>
      <c r="E110" s="154"/>
      <c r="F110" s="154"/>
      <c r="G110" s="154"/>
      <c r="H110" s="84"/>
      <c r="I110" s="84"/>
      <c r="J110" s="84"/>
      <c r="K110" s="84"/>
      <c r="L110" s="82"/>
      <c r="M110" s="82"/>
      <c r="N110" s="83"/>
      <c r="O110" s="83"/>
      <c r="P110" s="83"/>
      <c r="Q110" s="83"/>
      <c r="R110" s="84"/>
      <c r="S110" s="84"/>
    </row>
    <row r="111" spans="1:19" x14ac:dyDescent="0.4">
      <c r="A111"/>
      <c r="B111"/>
      <c r="C111" s="62" t="s">
        <v>85</v>
      </c>
      <c r="D111" s="63"/>
      <c r="E111" s="66">
        <v>4</v>
      </c>
      <c r="F111" s="66"/>
      <c r="G111" s="66"/>
      <c r="H111" s="67">
        <f>$L$64</f>
        <v>53197.745880000009</v>
      </c>
      <c r="I111" s="67"/>
      <c r="J111" s="67"/>
      <c r="K111" s="67"/>
      <c r="L111" s="68"/>
      <c r="M111" s="68"/>
      <c r="N111" s="69"/>
      <c r="O111" s="69"/>
      <c r="P111" s="69"/>
      <c r="Q111" s="69"/>
      <c r="R111" s="67">
        <v>12000</v>
      </c>
      <c r="S111" s="67"/>
    </row>
    <row r="112" spans="1:19" x14ac:dyDescent="0.4">
      <c r="A112"/>
      <c r="B112"/>
      <c r="C112" s="64"/>
      <c r="D112" s="65"/>
      <c r="E112" s="66"/>
      <c r="F112" s="66"/>
      <c r="G112" s="66"/>
      <c r="H112" s="67"/>
      <c r="I112" s="67"/>
      <c r="J112" s="67"/>
      <c r="K112" s="67"/>
      <c r="L112" s="68"/>
      <c r="M112" s="68"/>
      <c r="N112" s="69"/>
      <c r="O112" s="69"/>
      <c r="P112" s="69"/>
      <c r="Q112" s="69"/>
      <c r="R112" s="67"/>
      <c r="S112" s="67"/>
    </row>
    <row r="113" spans="1:19" x14ac:dyDescent="0.4">
      <c r="A113"/>
      <c r="B113"/>
      <c r="C113"/>
      <c r="D113"/>
      <c r="E113"/>
      <c r="F113"/>
      <c r="G113"/>
      <c r="H113"/>
      <c r="I113"/>
      <c r="J113"/>
      <c r="K113"/>
      <c r="L113"/>
      <c r="Q113"/>
    </row>
    <row r="114" spans="1:19" x14ac:dyDescent="0.4">
      <c r="A114" s="13"/>
      <c r="B114"/>
      <c r="C114"/>
      <c r="D114"/>
      <c r="E114" s="155" t="s">
        <v>103</v>
      </c>
      <c r="F114" s="155"/>
      <c r="G114" s="155"/>
      <c r="H114" s="155"/>
      <c r="I114" s="155"/>
      <c r="J114" s="148">
        <f>SUM(RestantsDusSurFacturesAppeles)</f>
        <v>50397.14</v>
      </c>
      <c r="K114" s="148"/>
      <c r="L114"/>
      <c r="Q114"/>
      <c r="R114"/>
      <c r="S114"/>
    </row>
    <row r="115" spans="1:19" x14ac:dyDescent="0.4">
      <c r="A115"/>
      <c r="B115"/>
      <c r="C115"/>
      <c r="D115"/>
      <c r="E115" s="155"/>
      <c r="F115" s="155"/>
      <c r="G115" s="155"/>
      <c r="H115" s="155"/>
      <c r="I115" s="155"/>
      <c r="J115" s="148"/>
      <c r="K115" s="148"/>
      <c r="L115"/>
      <c r="M115" s="22" t="s">
        <v>93</v>
      </c>
      <c r="Q115"/>
      <c r="R115"/>
      <c r="S115"/>
    </row>
    <row r="116" spans="1:19" x14ac:dyDescent="0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9" ht="18.600000000000001" x14ac:dyDescent="0.4">
      <c r="A117"/>
      <c r="B117"/>
      <c r="C117"/>
      <c r="D117"/>
      <c r="E117"/>
      <c r="F117"/>
      <c r="G117"/>
      <c r="H117"/>
      <c r="I117" s="41" t="s">
        <v>94</v>
      </c>
      <c r="J117" s="149">
        <f>$AC$48-SUM(MontantsFacturesAppeles)</f>
        <v>1729.4287199999962</v>
      </c>
      <c r="K117" s="149"/>
      <c r="L117"/>
      <c r="M117"/>
      <c r="N117"/>
      <c r="O117"/>
      <c r="P117"/>
      <c r="Q117"/>
    </row>
    <row r="118" spans="1:19" x14ac:dyDescent="0.4">
      <c r="A118"/>
      <c r="B118"/>
      <c r="C118"/>
      <c r="L118"/>
      <c r="M118"/>
      <c r="N118"/>
      <c r="O118"/>
      <c r="P118"/>
      <c r="Q118"/>
    </row>
    <row r="119" spans="1:19" x14ac:dyDescent="0.4">
      <c r="A119"/>
      <c r="B119"/>
      <c r="C119"/>
      <c r="E119" s="144" t="s">
        <v>110</v>
      </c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/>
      <c r="Q119"/>
    </row>
    <row r="120" spans="1:19" x14ac:dyDescent="0.4">
      <c r="A120"/>
      <c r="B120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/>
      <c r="Q120"/>
    </row>
    <row r="121" spans="1:19" x14ac:dyDescent="0.4">
      <c r="A121"/>
      <c r="B121"/>
      <c r="C121" s="22"/>
      <c r="D121" s="22"/>
      <c r="E121" s="130" t="s">
        <v>104</v>
      </c>
      <c r="F121" s="130"/>
      <c r="G121" s="130"/>
      <c r="H121" s="130"/>
      <c r="I121" s="130"/>
      <c r="J121" s="130"/>
      <c r="K121" s="130" t="s">
        <v>106</v>
      </c>
      <c r="L121" s="130"/>
      <c r="M121" s="130" t="s">
        <v>108</v>
      </c>
      <c r="N121" s="130"/>
      <c r="O121" s="130"/>
      <c r="P121"/>
      <c r="Q121"/>
    </row>
    <row r="122" spans="1:19" x14ac:dyDescent="0.4">
      <c r="A122"/>
      <c r="B122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/>
      <c r="Q122"/>
    </row>
    <row r="123" spans="1:19" x14ac:dyDescent="0.4">
      <c r="A123"/>
      <c r="B123"/>
      <c r="C123" s="22"/>
      <c r="D123" s="22"/>
      <c r="E123" s="131" t="s">
        <v>105</v>
      </c>
      <c r="F123" s="131"/>
      <c r="G123" s="131"/>
      <c r="H123" s="131"/>
      <c r="I123" s="131"/>
      <c r="J123" s="131"/>
      <c r="K123" s="131" t="s">
        <v>107</v>
      </c>
      <c r="L123" s="131"/>
      <c r="M123" s="131" t="s">
        <v>109</v>
      </c>
      <c r="N123" s="131"/>
      <c r="O123" s="131"/>
      <c r="P123"/>
      <c r="Q123"/>
    </row>
    <row r="124" spans="1:19" x14ac:dyDescent="0.4">
      <c r="A124"/>
      <c r="B124"/>
      <c r="C124"/>
      <c r="E124" s="131"/>
      <c r="F124" s="131"/>
      <c r="G124" s="131"/>
      <c r="H124" s="131"/>
      <c r="I124" s="131"/>
      <c r="J124" s="131"/>
      <c r="K124" s="131"/>
      <c r="L124" s="131"/>
      <c r="M124" s="131"/>
      <c r="N124" s="131"/>
      <c r="O124" s="131"/>
      <c r="P124"/>
      <c r="Q124"/>
      <c r="R124"/>
      <c r="S124"/>
    </row>
    <row r="125" spans="1:19" x14ac:dyDescent="0.4">
      <c r="A125"/>
      <c r="B125"/>
      <c r="C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4">
      <c r="A126"/>
      <c r="B126"/>
      <c r="C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4">
      <c r="A127"/>
      <c r="B127"/>
      <c r="C127" s="49"/>
      <c r="R127"/>
      <c r="S127"/>
    </row>
    <row r="128" spans="1:19" x14ac:dyDescent="0.4">
      <c r="A128"/>
      <c r="B128"/>
      <c r="C128" s="49"/>
      <c r="D128" s="22"/>
      <c r="E128" s="22"/>
      <c r="F128" s="22"/>
      <c r="G128" s="22"/>
    </row>
    <row r="129" spans="1:7" x14ac:dyDescent="0.4">
      <c r="C129" s="49"/>
      <c r="D129" s="22"/>
      <c r="E129" s="22"/>
      <c r="F129" s="22"/>
      <c r="G129" s="22"/>
    </row>
    <row r="130" spans="1:7" x14ac:dyDescent="0.4">
      <c r="C130" s="22"/>
      <c r="D130" s="22"/>
      <c r="E130" s="22"/>
      <c r="F130" s="22"/>
      <c r="G130" s="22"/>
    </row>
    <row r="131" spans="1:7" x14ac:dyDescent="0.4">
      <c r="A131" s="22"/>
      <c r="B131" s="22"/>
      <c r="C131" s="22"/>
      <c r="D131" s="22"/>
      <c r="E131" s="22"/>
      <c r="F131" s="22"/>
    </row>
    <row r="132" spans="1:7" x14ac:dyDescent="0.4">
      <c r="C132" s="22"/>
      <c r="D132" s="22"/>
      <c r="E132" s="22"/>
      <c r="F132" s="22"/>
    </row>
    <row r="133" spans="1:7" x14ac:dyDescent="0.4">
      <c r="A133" s="22"/>
      <c r="B133" s="22"/>
      <c r="C133" s="22"/>
      <c r="D133" s="22"/>
      <c r="E133" s="22"/>
      <c r="F133" s="22"/>
    </row>
    <row r="134" spans="1:7" x14ac:dyDescent="0.4">
      <c r="C134" s="22"/>
      <c r="D134" s="22"/>
      <c r="E134" s="22"/>
      <c r="F134" s="22"/>
    </row>
    <row r="135" spans="1:7" x14ac:dyDescent="0.4">
      <c r="C135" s="22"/>
      <c r="D135" s="22"/>
      <c r="E135" s="22"/>
      <c r="F135" s="22"/>
    </row>
    <row r="136" spans="1:7" x14ac:dyDescent="0.4">
      <c r="C136" s="22"/>
      <c r="D136" s="22"/>
      <c r="E136" s="22"/>
      <c r="F136" s="22"/>
    </row>
  </sheetData>
  <mergeCells count="195">
    <mergeCell ref="C18:C20"/>
    <mergeCell ref="F61:F62"/>
    <mergeCell ref="H103:I104"/>
    <mergeCell ref="J103:K104"/>
    <mergeCell ref="L103:M104"/>
    <mergeCell ref="N103:Q104"/>
    <mergeCell ref="R103:S104"/>
    <mergeCell ref="R91:S91"/>
    <mergeCell ref="R92:S94"/>
    <mergeCell ref="G61:H62"/>
    <mergeCell ref="I61:J61"/>
    <mergeCell ref="L61:M61"/>
    <mergeCell ref="N61:O62"/>
    <mergeCell ref="I62:J62"/>
    <mergeCell ref="L62:M62"/>
    <mergeCell ref="L60:M60"/>
    <mergeCell ref="E46:Q46"/>
    <mergeCell ref="D100:E100"/>
    <mergeCell ref="F100:G100"/>
    <mergeCell ref="N53:O54"/>
    <mergeCell ref="N51:O52"/>
    <mergeCell ref="G51:H52"/>
    <mergeCell ref="G53:H54"/>
    <mergeCell ref="F59:F60"/>
    <mergeCell ref="G59:H60"/>
    <mergeCell ref="I59:J59"/>
    <mergeCell ref="L59:M59"/>
    <mergeCell ref="N59:O60"/>
    <mergeCell ref="I57:J57"/>
    <mergeCell ref="L57:M57"/>
    <mergeCell ref="C91:F93"/>
    <mergeCell ref="P92:Q94"/>
    <mergeCell ref="L64:M65"/>
    <mergeCell ref="H64:K65"/>
    <mergeCell ref="F14:G14"/>
    <mergeCell ref="G49:H50"/>
    <mergeCell ref="I49:J50"/>
    <mergeCell ref="E40:Q40"/>
    <mergeCell ref="E41:Q41"/>
    <mergeCell ref="L49:M50"/>
    <mergeCell ref="E21:Q21"/>
    <mergeCell ref="E22:Q22"/>
    <mergeCell ref="E23:Q23"/>
    <mergeCell ref="E24:Q24"/>
    <mergeCell ref="E25:Q25"/>
    <mergeCell ref="E26:Q26"/>
    <mergeCell ref="E27:Q27"/>
    <mergeCell ref="E34:Q34"/>
    <mergeCell ref="N49:O50"/>
    <mergeCell ref="F15:G15"/>
    <mergeCell ref="D15:E15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J114:K115"/>
    <mergeCell ref="J117:K117"/>
    <mergeCell ref="F97:G97"/>
    <mergeCell ref="F98:G98"/>
    <mergeCell ref="F99:G99"/>
    <mergeCell ref="D98:E98"/>
    <mergeCell ref="D99:E99"/>
    <mergeCell ref="H105:I106"/>
    <mergeCell ref="H107:I108"/>
    <mergeCell ref="C105:D106"/>
    <mergeCell ref="E105:E106"/>
    <mergeCell ref="C107:D108"/>
    <mergeCell ref="E107:E108"/>
    <mergeCell ref="J105:K106"/>
    <mergeCell ref="D97:E97"/>
    <mergeCell ref="E114:I115"/>
    <mergeCell ref="C109:D110"/>
    <mergeCell ref="J107:K108"/>
    <mergeCell ref="F105:G106"/>
    <mergeCell ref="F107:G108"/>
    <mergeCell ref="E109:E110"/>
    <mergeCell ref="F109:G110"/>
    <mergeCell ref="H109:I110"/>
    <mergeCell ref="J109:K110"/>
    <mergeCell ref="E35:Q35"/>
    <mergeCell ref="E36:Q36"/>
    <mergeCell ref="E37:Q37"/>
    <mergeCell ref="D14:E14"/>
    <mergeCell ref="E45:Q45"/>
    <mergeCell ref="F12:G12"/>
    <mergeCell ref="D18:D20"/>
    <mergeCell ref="E121:J122"/>
    <mergeCell ref="E123:J124"/>
    <mergeCell ref="M121:O122"/>
    <mergeCell ref="M123:O124"/>
    <mergeCell ref="F49:F50"/>
    <mergeCell ref="F51:F52"/>
    <mergeCell ref="F53:F54"/>
    <mergeCell ref="F57:F58"/>
    <mergeCell ref="L68:M68"/>
    <mergeCell ref="L67:M67"/>
    <mergeCell ref="G57:H58"/>
    <mergeCell ref="N57:O58"/>
    <mergeCell ref="I58:J58"/>
    <mergeCell ref="L58:M58"/>
    <mergeCell ref="K123:L124"/>
    <mergeCell ref="K121:L122"/>
    <mergeCell ref="E119:O120"/>
    <mergeCell ref="R8:S8"/>
    <mergeCell ref="R9:S9"/>
    <mergeCell ref="H8:J8"/>
    <mergeCell ref="F13:G13"/>
    <mergeCell ref="R10:S10"/>
    <mergeCell ref="F55:F56"/>
    <mergeCell ref="G55:H56"/>
    <mergeCell ref="I55:J55"/>
    <mergeCell ref="L55:M55"/>
    <mergeCell ref="N55:O56"/>
    <mergeCell ref="L56:M56"/>
    <mergeCell ref="I56:J56"/>
    <mergeCell ref="E18:Q20"/>
    <mergeCell ref="R18:R20"/>
    <mergeCell ref="D12:E12"/>
    <mergeCell ref="D13:E13"/>
    <mergeCell ref="E38:Q38"/>
    <mergeCell ref="K49:K50"/>
    <mergeCell ref="E28:Q28"/>
    <mergeCell ref="E29:Q29"/>
    <mergeCell ref="E30:Q30"/>
    <mergeCell ref="E31:Q31"/>
    <mergeCell ref="E32:Q32"/>
    <mergeCell ref="E33:Q33"/>
    <mergeCell ref="W7:W8"/>
    <mergeCell ref="X7:X8"/>
    <mergeCell ref="I51:J51"/>
    <mergeCell ref="I52:J52"/>
    <mergeCell ref="L105:M106"/>
    <mergeCell ref="R105:S106"/>
    <mergeCell ref="R107:S108"/>
    <mergeCell ref="N107:Q108"/>
    <mergeCell ref="I54:J54"/>
    <mergeCell ref="L54:M54"/>
    <mergeCell ref="I53:J53"/>
    <mergeCell ref="L53:M53"/>
    <mergeCell ref="L51:M51"/>
    <mergeCell ref="L52:M52"/>
    <mergeCell ref="S18:S20"/>
    <mergeCell ref="E39:Q39"/>
    <mergeCell ref="E47:Q47"/>
    <mergeCell ref="D16:E16"/>
    <mergeCell ref="F16:G16"/>
    <mergeCell ref="D101:E101"/>
    <mergeCell ref="F101:G101"/>
    <mergeCell ref="K10:M10"/>
    <mergeCell ref="P9:Q9"/>
    <mergeCell ref="P10:Q10"/>
    <mergeCell ref="C111:D112"/>
    <mergeCell ref="E111:E112"/>
    <mergeCell ref="F111:G112"/>
    <mergeCell ref="H111:I112"/>
    <mergeCell ref="J111:K112"/>
    <mergeCell ref="L111:M112"/>
    <mergeCell ref="N111:Q112"/>
    <mergeCell ref="R111:S112"/>
    <mergeCell ref="C42:C44"/>
    <mergeCell ref="D42:D44"/>
    <mergeCell ref="E42:Q44"/>
    <mergeCell ref="R42:R44"/>
    <mergeCell ref="S42:S44"/>
    <mergeCell ref="L109:M110"/>
    <mergeCell ref="N109:Q110"/>
    <mergeCell ref="R109:S110"/>
    <mergeCell ref="L107:M108"/>
    <mergeCell ref="N105:Q106"/>
    <mergeCell ref="H68:K68"/>
    <mergeCell ref="H66:K66"/>
    <mergeCell ref="L66:M66"/>
    <mergeCell ref="H67:K67"/>
    <mergeCell ref="P91:Q91"/>
    <mergeCell ref="I60:J60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G51:H62 C21:C41 C45:C47" xr:uid="{2A310F13-4DE6-4F30-9261-8C3F37172DDD}">
      <formula1>DevisEtDMPs</formula1>
    </dataValidation>
    <dataValidation type="list" allowBlank="1" showInputMessage="1" showErrorMessage="1" sqref="C12:C16" xr:uid="{98BC9BBB-C347-400D-BB65-0418E5F6C1DF}">
      <formula1>"Selon devis,Selon"</formula1>
    </dataValidation>
    <dataValidation type="list" allowBlank="1" showInputMessage="1" showErrorMessage="1" sqref="S21:S41 S45:S47" xr:uid="{E556C3C2-862E-4B6F-8359-2BFDCD5B99E1}">
      <formula1>"N,R,A + N,A + R"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3" manualBreakCount="3">
    <brk id="38" max="16383" man="1"/>
    <brk id="64" max="16383" man="1"/>
    <brk id="86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L3"/>
  <sheetViews>
    <sheetView workbookViewId="0">
      <selection activeCell="K4" sqref="K4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8" width="17.6640625" customWidth="1" outlineLevel="1"/>
    <col min="9" max="9" width="17.6640625" style="201" customWidth="1" outlineLevel="1"/>
    <col min="10" max="11" width="17.6640625" customWidth="1" outlineLevel="1"/>
  </cols>
  <sheetData>
    <row r="1" spans="1:11" s="1" customFormat="1" ht="28.8" customHeight="1" x14ac:dyDescent="0.3">
      <c r="A1" s="198" t="s">
        <v>16</v>
      </c>
      <c r="B1" s="198"/>
      <c r="C1" s="1" t="s">
        <v>0</v>
      </c>
      <c r="D1" s="1" t="s">
        <v>82</v>
      </c>
      <c r="E1" s="1" t="s">
        <v>3</v>
      </c>
      <c r="F1" s="1" t="s">
        <v>10</v>
      </c>
      <c r="G1" s="1" t="s">
        <v>1</v>
      </c>
      <c r="H1" s="1" t="s">
        <v>146</v>
      </c>
      <c r="I1" s="200" t="s">
        <v>2</v>
      </c>
      <c r="J1" s="1" t="s">
        <v>95</v>
      </c>
      <c r="K1" s="61" t="s">
        <v>145</v>
      </c>
    </row>
    <row r="2" spans="1:11" x14ac:dyDescent="0.3">
      <c r="A2" s="199">
        <v>571</v>
      </c>
      <c r="B2" t="s">
        <v>143</v>
      </c>
      <c r="C2" t="s">
        <v>4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s="201" t="s">
        <v>9</v>
      </c>
      <c r="J2" t="s">
        <v>96</v>
      </c>
      <c r="K2" t="s">
        <v>8</v>
      </c>
    </row>
    <row r="3" spans="1:11" x14ac:dyDescent="0.3">
      <c r="B3" t="s">
        <v>147</v>
      </c>
      <c r="C3" t="s">
        <v>4</v>
      </c>
      <c r="D3" t="s">
        <v>4</v>
      </c>
      <c r="E3" t="s">
        <v>5</v>
      </c>
      <c r="F3" t="s">
        <v>6</v>
      </c>
      <c r="G3" t="s">
        <v>7</v>
      </c>
      <c r="I3" s="201" t="s">
        <v>9</v>
      </c>
      <c r="J3" t="s">
        <v>96</v>
      </c>
      <c r="K3" t="s">
        <v>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30</vt:i4>
      </vt:variant>
    </vt:vector>
  </HeadingPairs>
  <TitlesOfParts>
    <vt:vector size="32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2021-04-13T09:00:27Z</cp:lastPrinted>
  <dcterms:created xsi:type="dcterms:W3CDTF">2021-03-09T16:11:11Z</dcterms:created>
  <dcterms:modified xsi:type="dcterms:W3CDTF">2021-04-13T15:44:08Z</dcterms:modified>
</cp:coreProperties>
</file>