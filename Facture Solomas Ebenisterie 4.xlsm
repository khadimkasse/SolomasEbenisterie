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50F583F1-0428-4DAE-AD09-DE9A18909134}" xr6:coauthVersionLast="46" xr6:coauthVersionMax="46" xr10:uidLastSave="{00000000-0000-0000-0000-000000000000}"/>
  <bookViews>
    <workbookView xWindow="43395" yWindow="6450" windowWidth="13830" windowHeight="8040" xr2:uid="{477BF41A-9CC6-4CB4-A5F1-6AFD34C91AEE}"/>
  </bookViews>
  <sheets>
    <sheet name="template" sheetId="1" r:id="rId1"/>
    <sheet name="new facture" sheetId="3" r:id="rId2"/>
    <sheet name="new facture 2" sheetId="4" r:id="rId3"/>
    <sheet name="Service course" sheetId="5" r:id="rId4"/>
    <sheet name="Cocoon" sheetId="6" r:id="rId5"/>
    <sheet name="informations enregistrées" sheetId="2" r:id="rId6"/>
  </sheets>
  <functionGroups builtInGroupCount="19"/>
  <definedNames>
    <definedName name="AggregationMontantsDevisTTC" localSheetId="4">Cocoon!$AC$32:$AC$38</definedName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template!$AC$32:$AC$32</definedName>
    <definedName name="ArticlesListingHeader" localSheetId="4">Cocoon!$C$14:$S$16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ClientDetails" localSheetId="4">Cocoon!$H$1:$M$6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enregistrées'!$C$1:$L$3</definedName>
    <definedName name="CodesTVA" localSheetId="4">Cocoon!$S$17:$S$18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4">Cocoon!$D$59:$D$59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course'!$D$69:$D$69</definedName>
    <definedName name="DevisEtDMPRecap">template!$D$59:$D$59</definedName>
    <definedName name="DevisEtDMPs" localSheetId="4">Cocoon!$D$12:$D$12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4">Cocoon!$1:$11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4">Cocoon!$P$5:$S$10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Number" localSheetId="4">Cocoon!$W$10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4">Cocoon!$R$17:$R$18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4">Cocoon!$H$63:$I$66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course'!$H$73:$I$80</definedName>
    <definedName name="MontantsFacturesAppeles">template!$H$63:$I$66</definedName>
    <definedName name="MontantsPayesSurFacturesAppeles" localSheetId="4">Cocoon!$J$63:$K$66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course'!$J$73:$K$80</definedName>
    <definedName name="MontantsPayesSurFacturesAppeles">template!$J$63:$K$66</definedName>
    <definedName name="MontantsTTCAppeles" localSheetId="4">Cocoon!$N$22:$O$25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course'!$N$30:$O$35</definedName>
    <definedName name="MontantsTTCAppeles">template!$N$22:$O$25</definedName>
    <definedName name="MontantsTVAAppeles" localSheetId="4">Cocoon!$L$22:$M$25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course'!$L$30:$M$35</definedName>
    <definedName name="MontantsTVAAppeles">template!$L$22:$M$25</definedName>
    <definedName name="MontantTotalTVAN" localSheetId="4">Cocoon!$AA$11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4">Cocoon!$AA$21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4">Cocoon!$C$54</definedName>
    <definedName name="recapPosition" localSheetId="1">'new facture'!$C$92</definedName>
    <definedName name="recapPosition" localSheetId="2">'new facture 2'!$C$93</definedName>
    <definedName name="recapPosition" localSheetId="3">'Service course'!$C$64</definedName>
    <definedName name="recapPosition">template!$C$54</definedName>
    <definedName name="RefsDevisEtDMP" localSheetId="4">Cocoon!$C$17:$C$18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4">Cocoon!$R$63:$S$66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course'!$R$73:$S$80</definedName>
    <definedName name="RestantsDusSurFacturesAppeles">template!$R$63:$S$66</definedName>
    <definedName name="TauxTVAAppeles" localSheetId="4">Cocoon!$K$22:$K$25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course'!$K$30:$K$35</definedName>
    <definedName name="TauxTVAAppeles">template!$K$22:$K$25</definedName>
    <definedName name="TaxeAmeublementExiste" localSheetId="4">Cocoon!$AA$15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4">Cocoon!$AA$32:$AA$38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template!$AA$32:$AA$32</definedName>
    <definedName name="TaxeAmeublementR" localSheetId="4">Cocoon!$AB$32:$AB$38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template!$AB$32:$AB$32</definedName>
    <definedName name="TotalTaxeAmeublement" localSheetId="4">Cocoon!$AA$16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4">Cocoon!$L$31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course'!$L$41</definedName>
    <definedName name="TotalTaxeDAmeublementFacture">template!$L$31</definedName>
    <definedName name="TotalTTCFacture" localSheetId="4">Cocoon!$L$27</definedName>
    <definedName name="TotalTTCFacture" localSheetId="1">'new facture'!$L$65</definedName>
    <definedName name="TotalTTCFacture" localSheetId="2">'new facture 2'!$L$66</definedName>
    <definedName name="TotalTTCFacture" localSheetId="3">'Service course'!$L$37</definedName>
    <definedName name="TotalTTCFacture">template!$L$27</definedName>
    <definedName name="TVANExiste" localSheetId="4">Cocoon!$AA$10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4">Cocoon!$AA$20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sClient" localSheetId="4">Cocoon!$AG$10:$AG$32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4">Cocoon!$Z$32:$Z$38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template!$Z$32:$Z$32</definedName>
    <definedName name="_xlnm.Print_Area" localSheetId="4">Cocoon!$C:$S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1" i="5" l="1"/>
  <c r="L35" i="5"/>
  <c r="K35" i="5"/>
  <c r="I35" i="5"/>
  <c r="K34" i="5"/>
  <c r="I34" i="5"/>
  <c r="L34" i="5" l="1"/>
  <c r="N34" i="5" s="1"/>
  <c r="AC28" i="4" l="1"/>
  <c r="J68" i="6"/>
  <c r="I59" i="6"/>
  <c r="H59" i="6"/>
  <c r="F59" i="6"/>
  <c r="D59" i="6"/>
  <c r="C59" i="6"/>
  <c r="R54" i="6"/>
  <c r="Z32" i="6" a="1"/>
  <c r="Z32" i="6" s="1"/>
  <c r="AA20" i="6"/>
  <c r="L30" i="6" s="1"/>
  <c r="AA16" i="6"/>
  <c r="AA15" i="6"/>
  <c r="AC50" i="6" s="1"/>
  <c r="AC49" i="6" s="1"/>
  <c r="AA10" i="6"/>
  <c r="I24" i="6" s="1"/>
  <c r="W10" i="6" a="1"/>
  <c r="W10" i="6" s="1"/>
  <c r="J82" i="5"/>
  <c r="I69" i="5"/>
  <c r="H69" i="5"/>
  <c r="F69" i="5"/>
  <c r="D69" i="5"/>
  <c r="C69" i="5"/>
  <c r="R64" i="5"/>
  <c r="Z32" i="5" a="1"/>
  <c r="Z32" i="5" s="1"/>
  <c r="AA20" i="5"/>
  <c r="L33" i="5" s="1"/>
  <c r="AA16" i="5"/>
  <c r="AA15" i="5"/>
  <c r="AB50" i="5" s="1"/>
  <c r="AA10" i="5"/>
  <c r="R9" i="6" l="1"/>
  <c r="R55" i="6" s="1"/>
  <c r="H27" i="6"/>
  <c r="AB32" i="6"/>
  <c r="AA21" i="6" s="1"/>
  <c r="AA32" i="6"/>
  <c r="AA11" i="6" s="1"/>
  <c r="L24" i="6"/>
  <c r="L31" i="6"/>
  <c r="K23" i="6"/>
  <c r="L29" i="6"/>
  <c r="K24" i="6"/>
  <c r="H31" i="6"/>
  <c r="C53" i="6"/>
  <c r="I25" i="6"/>
  <c r="N24" i="6" s="1"/>
  <c r="I22" i="6"/>
  <c r="K25" i="6"/>
  <c r="L23" i="6"/>
  <c r="H30" i="6"/>
  <c r="K22" i="6"/>
  <c r="L25" i="6"/>
  <c r="L22" i="6"/>
  <c r="I23" i="6"/>
  <c r="H29" i="6"/>
  <c r="AB50" i="6"/>
  <c r="L31" i="5"/>
  <c r="AC50" i="5"/>
  <c r="AC49" i="5" s="1"/>
  <c r="K31" i="5"/>
  <c r="H40" i="5"/>
  <c r="L40" i="5"/>
  <c r="I31" i="5"/>
  <c r="AB32" i="5"/>
  <c r="AA21" i="5" s="1"/>
  <c r="AA32" i="5"/>
  <c r="AA11" i="5" s="1"/>
  <c r="H37" i="5"/>
  <c r="R9" i="5"/>
  <c r="R65" i="5" s="1"/>
  <c r="K32" i="5"/>
  <c r="H41" i="5"/>
  <c r="C63" i="5"/>
  <c r="I33" i="5"/>
  <c r="K33" i="5"/>
  <c r="K30" i="5"/>
  <c r="H39" i="5"/>
  <c r="AC51" i="6" l="1"/>
  <c r="AC52" i="6" s="1"/>
  <c r="AC32" i="6"/>
  <c r="N22" i="6"/>
  <c r="I32" i="5"/>
  <c r="L32" i="5" s="1"/>
  <c r="I30" i="5"/>
  <c r="L30" i="5" s="1"/>
  <c r="L39" i="5" s="1"/>
  <c r="AC51" i="5"/>
  <c r="AC52" i="5" s="1"/>
  <c r="AC32" i="5"/>
  <c r="AC56" i="6" l="1"/>
  <c r="J71" i="6"/>
  <c r="L27" i="6"/>
  <c r="AC53" i="6"/>
  <c r="AC54" i="6" s="1"/>
  <c r="N30" i="5"/>
  <c r="N32" i="5"/>
  <c r="AC56" i="5"/>
  <c r="AC53" i="5" l="1"/>
  <c r="AC54" i="5" s="1"/>
  <c r="L37" i="5"/>
  <c r="J85" i="5" l="1"/>
  <c r="W10" i="1" l="1" a="1"/>
  <c r="W10" i="1" s="1"/>
  <c r="A3" i="2"/>
  <c r="J117" i="4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B33" i="3"/>
  <c r="AA30" i="4"/>
  <c r="AC30" i="4" s="1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1" i="3" l="1"/>
  <c r="AC33" i="3"/>
  <c r="AC30" i="3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I55" i="4" l="1"/>
  <c r="L55" i="4" s="1"/>
  <c r="N59" i="4"/>
  <c r="AA17" i="4"/>
  <c r="AC47" i="4" s="1"/>
  <c r="AC48" i="4" s="1"/>
  <c r="I56" i="4"/>
  <c r="L56" i="4" s="1"/>
  <c r="L69" i="4" s="1"/>
  <c r="L70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A10" i="1"/>
  <c r="AA32" i="1" l="1"/>
  <c r="I22" i="1" s="1"/>
  <c r="AB32" i="1"/>
  <c r="I23" i="1" s="1"/>
  <c r="K24" i="1"/>
  <c r="H29" i="1"/>
  <c r="K22" i="1"/>
  <c r="H31" i="1"/>
  <c r="AB50" i="1"/>
  <c r="AC50" i="1"/>
  <c r="AC49" i="1" s="1"/>
  <c r="K25" i="1"/>
  <c r="K23" i="1"/>
  <c r="H30" i="1"/>
  <c r="AC32" i="1" l="1"/>
  <c r="L31" i="1"/>
  <c r="AA11" i="1" l="1"/>
  <c r="I25" i="1"/>
  <c r="L25" i="1" s="1"/>
  <c r="I24" i="1"/>
  <c r="L24" i="1" s="1"/>
  <c r="L23" i="1"/>
  <c r="R54" i="1"/>
  <c r="AA21" i="1" l="1"/>
  <c r="AC51" i="1" s="1"/>
  <c r="AC52" i="1" s="1"/>
  <c r="L22" i="1"/>
  <c r="L29" i="1" s="1"/>
  <c r="L30" i="1"/>
  <c r="H59" i="1"/>
  <c r="F59" i="1"/>
  <c r="D59" i="1"/>
  <c r="C59" i="1"/>
  <c r="R9" i="1" l="1"/>
  <c r="R55" i="1" s="1"/>
  <c r="C53" i="1" l="1"/>
  <c r="H27" i="1"/>
  <c r="N22" i="1" l="1"/>
  <c r="N24" i="1"/>
  <c r="L27" i="1" l="1"/>
  <c r="AC53" i="1"/>
  <c r="AC56" i="1"/>
  <c r="AC54" i="1" l="1"/>
  <c r="J7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52493378-2353-4AE1-87EF-270F42C3DF72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F1FBDD06-6D33-411D-9232-54D5AD87FA66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323333F-3A54-4A27-8B86-BCC107B31F9B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<sst xmlns="http://schemas.openxmlformats.org/spreadsheetml/2006/main" count="969" uniqueCount="212">
  <si>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</si>
  <si>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</si>
  <si>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</si>
  <si>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</si>
  <si>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</si>
  <si>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</si>
  <si>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</si>
  <si>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</si>
  <si>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</si>
  <si>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</si>
  <si>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</si>
  <si>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</si>
  <si>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</si>
  <si>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</si>
  <si>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</si>
  <si>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</si>
  <si>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</si>
  <si>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</si>
  <si>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</si>
  <si>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</si>
  <si>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</si>
  <si>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</si>
  <si>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</si>
  <si>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</si>
  <si>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</si>
  <si>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</si>
  <si>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</si>
  <si>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</si>
  <si>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</si>
  <si>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</si>
  <si>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</si>
  <si>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</si>
  <si>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</si>
  <si>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</si>
  <si>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</si>
  <si>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</si>
  <si>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</si>
  <si>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</si>
  <si>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</si>
  <si>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</si>
  <si>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</si>
  <si>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</si>
  <si>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</si>
  <si>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</si>
  <si>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</si>
  <si>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</si>
  <si>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</si>
  <si>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</si>
  <si>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</si>
  <si>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</si>
  <si>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</si>
  <si>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</si>
  <si>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</si>
  <si>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</si>
  <si>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</si>
  <si>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</si>
  <si>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</si>
  <si>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</si>
  <si>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</si>
  <si>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</si>
  <si>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</si>
  <si>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</si>
  <si>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</si>
  <si>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</si>
  <si>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</si>
  <si>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</si>
  <si>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</si>
  <si>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</si>
  <si>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</si>
  <si>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</si>
  <si>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</si>
  <si>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</si>
  <si>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</si>
  <si>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</si>
  <si>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</si>
  <si>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</si>
  <si>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</si>
  <si>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</si>
  <si>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</si>
  <si>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</si>
  <si>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</si>
  <si>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</si>
  <si>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</si>
  <si>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</si>
  <si>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</si>
  <si>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</si>
  <si>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</si>
  <si>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</si>
  <si>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</si>
  <si>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</si>
  <si>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</si>
  <si>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</si>
  <si>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</si>
  <si>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</si>
  <si>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</si>
  <si>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</si>
  <si>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</si>
  <si>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</si>
  <si>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</si>
  <si>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</si>
  <si>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</si>
  <si>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</si>
  <si>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</si>
  <si>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</si>
  <si>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</si>
  <si>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</si>
  <si>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</si>
  <si>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</si>
  <si>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</si>
  <si>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</si>
  <si>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</si>
  <si>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</si>
  <si>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</si>
  <si>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</si>
  <si>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</si>
  <si>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</si>
  <si>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</si>
  <si>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</si>
  <si>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</si>
  <si>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</si>
  <si>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</si>
  <si>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</si>
  <si>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</si>
  <si>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</si>
  <si>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</si>
  <si>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</si>
  <si>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</si>
  <si>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</si>
  <si>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</si>
  <si>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</si>
  <si>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</si>
  <si>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</si>
  <si>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</si>
  <si>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</si>
  <si>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</si>
  <si>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</si>
  <si>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</si>
  <si>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</si>
  <si>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</si>
  <si>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</si>
  <si>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</si>
  <si>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</si>
  <si>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</si>
  <si>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</si>
  <si>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</si>
  <si>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</si>
  <si>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</si>
  <si>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</si>
  <si>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</si>
  <si>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</si>
  <si>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</si>
  <si>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</si>
  <si>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</si>
  <si>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</si>
  <si>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</si>
  <si>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</si>
  <si>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</si>
  <si>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</si>
  <si>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</si>
  <si>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</si>
  <si>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</si>
  <si>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</si>
  <si>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</si>
  <si>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</si>
  <si>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</si>
  <si>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</si>
  <si>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</si>
  <si>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</si>
  <si>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</si>
  <si>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</si>
  <si>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</si>
  <si>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</si>
  <si>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</si>
  <si>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</si>
  <si>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</si>
  <si>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</si>
  <si>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</si>
  <si>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</si>
  <si>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</si>
  <si>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</si>
  <si>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</si>
  <si>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</si>
  <si>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</si>
  <si>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</si>
  <si>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</si>
  <si>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</si>
  <si>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</si>
  <si>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</si>
  <si>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</si>
  <si>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</si>
  <si>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</si>
  <si>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</si>
  <si>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</si>
  <si>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</si>
  <si>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</si>
  <si>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</si>
  <si>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</si>
  <si>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</si>
  <si>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</si>
  <si>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</si>
  <si>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</si>
  <si>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</si>
  <si>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</si>
  <si>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</si>
  <si>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</si>
  <si>
    <t xml:space="preserve">Mettre le template d'équere et faire un essai d'imlémentation </t>
  </si>
  <si>
    <t xml:space="preserve">Tester la modification du numéro de facture en AV avant export </t>
  </si>
  <si>
    <t>Lors de la création d'une nouvelle facture from autre feuille que template, prendre cettte feuille comme base et vider la table d'appel de fond</t>
  </si>
  <si>
    <t>Acompte n° :</t>
  </si>
  <si>
    <t>Jalon règlement n° :</t>
  </si>
  <si>
    <t>Numéro de la facture liée au document :</t>
  </si>
  <si>
    <t>Régler problème filigrane qui se fait trop visible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</si>
</sst>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  <numFmt numFmtId="170" formatCode="#,##0\ &quot;€&quot;"/>
    <numFmt numFmtId="172" formatCode="&quot;€&quot;#,##0.00_);\(&quot;€&quot;#,##0.00\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35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4" fillId="2" borderId="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vertical="center" wrapText="1"/>
    </xf>
    <xf numFmtId="49" fontId="4" fillId="11" borderId="0" xfId="0" applyNumberFormat="1" applyFont="1" applyFill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14" fontId="1" fillId="0" borderId="0" xfId="0" applyNumberFormat="1" applyFont="1"/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30" fillId="2" borderId="0" xfId="1" applyFill="1" applyBorder="1"/>
    <xf numFmtId="0" fontId="0" fillId="0" borderId="0" xfId="0" applyAlignment="1">
      <alignment horizontal="center" vertical="center" wrapText="1"/>
    </xf>
    <xf numFmtId="170" fontId="9" fillId="6" borderId="20" xfId="0" applyNumberFormat="1" applyFont="1" applyFill="1" applyBorder="1"/>
    <xf numFmtId="170" fontId="9" fillId="5" borderId="17" xfId="0" applyNumberFormat="1" applyFont="1" applyFill="1" applyBorder="1"/>
    <xf numFmtId="172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Cocoon!$AC$56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21-41DE-A9F6-9DB52EA388E1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21-41DE-A9F6-9DB52EA388E1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21-41DE-A9F6-9DB52EA388E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Cocoon!$AC$53:$AC$54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Cocoon!$AB$53:$AB$54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1321-41DE-A9F6-9DB52EA388E1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321-41DE-A9F6-9DB52EA388E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21-41DE-A9F6-9DB52EA388E1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321-41DE-A9F6-9DB52EA388E1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321-41DE-A9F6-9DB52EA388E1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321-41DE-A9F6-9DB52EA388E1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Cocoon!$AB$49:$AB$51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Cocoon!$AC$49:$AC$51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21-41DE-A9F6-9DB52EA3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590728</xdr:colOff>
      <xdr:row>13</xdr:row>
      <xdr:rowOff>225898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1988185"/>
          <a:ext cx="1331436" cy="118592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780006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697371"/>
          <a:ext cx="1514316" cy="117579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16221" cy="121012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704937</xdr:colOff>
      <xdr:row>26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797566"/>
          <a:ext cx="1476692" cy="112083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54462" y="1917869"/>
          <a:ext cx="2019036" cy="1387476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746109</xdr:colOff>
      <xdr:row>68</xdr:row>
      <xdr:rowOff>174081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277883"/>
          <a:ext cx="1514316" cy="1313817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475987</xdr:colOff>
      <xdr:row>31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987870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663872</xdr:colOff>
      <xdr:row>55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10274850"/>
          <a:ext cx="1783542" cy="237026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245228</xdr:colOff>
      <xdr:row>27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4738149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131323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347351" y="67263"/>
          <a:ext cx="1511086" cy="1368544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705802</xdr:colOff>
      <xdr:row>35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632264"/>
          <a:ext cx="1495742" cy="144001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93344</xdr:colOff>
      <xdr:row>88</xdr:row>
      <xdr:rowOff>96657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512108</xdr:colOff>
      <xdr:row>88</xdr:row>
      <xdr:rowOff>95703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96656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54147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74281" y="47886"/>
          <a:ext cx="1555626" cy="1370785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553866</xdr:colOff>
      <xdr:row>6</xdr:row>
      <xdr:rowOff>136614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140384" y="132258"/>
          <a:ext cx="1546101" cy="136126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8666" y="2494643"/>
          <a:ext cx="1319280" cy="118973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3816" y="5082669"/>
          <a:ext cx="1513590" cy="117770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20003" y="283936"/>
          <a:ext cx="1511685" cy="121012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18185" y="11827923"/>
          <a:ext cx="1472156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479622" y="1010726"/>
          <a:ext cx="1992820" cy="1389381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21733" y="23957098"/>
          <a:ext cx="1509780" cy="1341122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38920" y="15969515"/>
          <a:ext cx="929727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266046" y="5080727"/>
          <a:ext cx="1336322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271925" y="9367707"/>
          <a:ext cx="1772566" cy="2372172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575770" y="3831006"/>
          <a:ext cx="1515101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23452" y="2592116"/>
          <a:ext cx="1500109" cy="135711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3335"/>
          <a:ext cx="1495016" cy="144001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280449" y="2574639"/>
          <a:ext cx="1531315" cy="137459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592542</xdr:colOff>
      <xdr:row>16</xdr:row>
      <xdr:rowOff>59619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8666" y="2494643"/>
          <a:ext cx="1323090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782002</xdr:colOff>
      <xdr:row>27</xdr:row>
      <xdr:rowOff>133349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3816" y="5082669"/>
          <a:ext cx="1517400" cy="117389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20003" y="283936"/>
          <a:ext cx="1515495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704937</xdr:colOff>
      <xdr:row>58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18185" y="12054709"/>
          <a:ext cx="1475966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630609</xdr:colOff>
      <xdr:row>10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479622" y="1010726"/>
          <a:ext cx="1996630" cy="1393191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746109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21733" y="24202026"/>
          <a:ext cx="1513590" cy="1341122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38920" y="16196301"/>
          <a:ext cx="9297275" cy="4046016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266046" y="5080727"/>
          <a:ext cx="1332512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669587</xdr:colOff>
      <xdr:row>51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271925" y="9367707"/>
          <a:ext cx="1776376" cy="2368362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249038</xdr:colOff>
      <xdr:row>23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575770" y="3831006"/>
          <a:ext cx="1518911" cy="140609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592514</xdr:colOff>
      <xdr:row>17</xdr:row>
      <xdr:rowOff>97683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23452" y="2592116"/>
          <a:ext cx="1503919" cy="136092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701992</xdr:colOff>
      <xdr:row>73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0121"/>
          <a:ext cx="1491206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132398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133349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97687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280449" y="2574639"/>
          <a:ext cx="1531315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207319</xdr:colOff>
      <xdr:row>24</xdr:row>
      <xdr:rowOff>131614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052813" y="4209401"/>
          <a:ext cx="1533220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592633</xdr:colOff>
      <xdr:row>13</xdr:row>
      <xdr:rowOff>212563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49232" y="1988185"/>
          <a:ext cx="1332615" cy="117259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783816</xdr:colOff>
      <xdr:row>21</xdr:row>
      <xdr:rowOff>93525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63250" y="3697371"/>
          <a:ext cx="1509780" cy="115865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20003" y="283936"/>
          <a:ext cx="1511685" cy="121012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701127</xdr:colOff>
      <xdr:row>34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18185" y="6611852"/>
          <a:ext cx="1472156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630609</xdr:colOff>
      <xdr:row>14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479622" y="1917869"/>
          <a:ext cx="1996630" cy="1389381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72</xdr:row>
      <xdr:rowOff>217169</xdr:rowOff>
    </xdr:from>
    <xdr:to>
      <xdr:col>1</xdr:col>
      <xdr:colOff>742299</xdr:colOff>
      <xdr:row>78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21733" y="16545740"/>
          <a:ext cx="1509780" cy="131381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42</xdr:row>
      <xdr:rowOff>94515</xdr:rowOff>
    </xdr:from>
    <xdr:to>
      <xdr:col>15</xdr:col>
      <xdr:colOff>517409</xdr:colOff>
      <xdr:row>60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38920" y="9619515"/>
          <a:ext cx="929727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266046" y="5987870"/>
          <a:ext cx="1336322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665777</xdr:colOff>
      <xdr:row>55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271925" y="10274850"/>
          <a:ext cx="1772566" cy="2372172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245228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575770" y="4738149"/>
          <a:ext cx="1515101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135133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267976" y="67263"/>
          <a:ext cx="1502014" cy="1366639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39</xdr:row>
      <xdr:rowOff>55478</xdr:rowOff>
    </xdr:from>
    <xdr:to>
      <xdr:col>1</xdr:col>
      <xdr:colOff>705802</xdr:colOff>
      <xdr:row>45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900121"/>
          <a:ext cx="1495016" cy="144001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97</xdr:row>
      <xdr:rowOff>22816</xdr:rowOff>
    </xdr:from>
    <xdr:to>
      <xdr:col>7</xdr:col>
      <xdr:colOff>93344</xdr:colOff>
      <xdr:row>102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97</xdr:row>
      <xdr:rowOff>18052</xdr:rowOff>
    </xdr:from>
    <xdr:to>
      <xdr:col>9</xdr:col>
      <xdr:colOff>512108</xdr:colOff>
      <xdr:row>102</xdr:row>
      <xdr:rowOff>135254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97</xdr:row>
      <xdr:rowOff>24720</xdr:rowOff>
    </xdr:from>
    <xdr:to>
      <xdr:col>12</xdr:col>
      <xdr:colOff>761185</xdr:colOff>
      <xdr:row>102</xdr:row>
      <xdr:rowOff>136207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628868</xdr:colOff>
      <xdr:row>6</xdr:row>
      <xdr:rowOff>56052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185834" y="47886"/>
          <a:ext cx="1565605" cy="1368880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038331" y="132258"/>
          <a:ext cx="1548368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590728</xdr:colOff>
      <xdr:row>13</xdr:row>
      <xdr:rowOff>225898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088B29-A774-44AD-BDDA-D045AAEF834D}"/>
            </a:ext>
          </a:extLst>
        </xdr:cNvPr>
        <xdr:cNvGrpSpPr/>
      </xdr:nvGrpSpPr>
      <xdr:grpSpPr>
        <a:xfrm>
          <a:off x="47327" y="1984375"/>
          <a:ext cx="1332615" cy="118973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A1D5EB2-2157-454A-8C2B-687C3B402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35E65F3-4EAE-4F29-A803-33B2A08A0BC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780006</xdr:colOff>
      <xdr:row>21</xdr:row>
      <xdr:rowOff>110670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638BFB8-805D-4493-BB1F-9207C5324DA5}"/>
            </a:ext>
          </a:extLst>
        </xdr:cNvPr>
        <xdr:cNvGrpSpPr/>
      </xdr:nvGrpSpPr>
      <xdr:grpSpPr>
        <a:xfrm>
          <a:off x="65155" y="3699276"/>
          <a:ext cx="1504065" cy="117389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91882478-CE4D-4244-89F1-1CB381D14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185B3AC4-A33D-4E1F-BF1D-68F192C9CC96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2D48BD6-9B14-441A-8631-693345479FD9}"/>
            </a:ext>
          </a:extLst>
        </xdr:cNvPr>
        <xdr:cNvGrpSpPr/>
      </xdr:nvGrpSpPr>
      <xdr:grpSpPr>
        <a:xfrm>
          <a:off x="16193" y="280126"/>
          <a:ext cx="1519305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74928356-C7FA-4C33-A17F-BFE3D53A7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A9F4AB0-1F61-4ABF-B60B-9D3AE1CBAF0C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704937</xdr:colOff>
      <xdr:row>26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CF4823C-B85A-4AB2-89DD-20876A24B569}"/>
            </a:ext>
          </a:extLst>
        </xdr:cNvPr>
        <xdr:cNvGrpSpPr/>
      </xdr:nvGrpSpPr>
      <xdr:grpSpPr>
        <a:xfrm>
          <a:off x="14375" y="4797566"/>
          <a:ext cx="1479776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38C20D4-0B76-4B60-AB30-66D0EC78E2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B1A66568-835C-4AAE-863D-C5B0DAE67D5D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134155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4DA801C-61A0-42E1-8A8A-2A7E9107F60F}"/>
            </a:ext>
          </a:extLst>
        </xdr:cNvPr>
        <xdr:cNvGrpSpPr/>
      </xdr:nvGrpSpPr>
      <xdr:grpSpPr>
        <a:xfrm>
          <a:off x="15475812" y="1919774"/>
          <a:ext cx="2013775" cy="1389381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E3A0AB28-2C52-40FF-8C3A-D2512649BE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BA7C1351-E7FE-417B-B188-F168FB65A5D6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746109</xdr:colOff>
      <xdr:row>68</xdr:row>
      <xdr:rowOff>174081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1C63D24-5A2D-4757-B595-2ACB83979058}"/>
            </a:ext>
          </a:extLst>
        </xdr:cNvPr>
        <xdr:cNvGrpSpPr/>
      </xdr:nvGrpSpPr>
      <xdr:grpSpPr>
        <a:xfrm>
          <a:off x="25543" y="14279788"/>
          <a:ext cx="1509780" cy="1315722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2B2BEB5A-DA94-45A4-B8A5-AB47BB4C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36510FB8-A7D7-4FBC-B783-FA8C1092B3B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33292E96-FB70-4912-819A-3272B6FE7419}"/>
            </a:ext>
          </a:extLst>
        </xdr:cNvPr>
        <xdr:cNvGrpSpPr/>
      </xdr:nvGrpSpPr>
      <xdr:grpSpPr>
        <a:xfrm>
          <a:off x="3638920" y="7355468"/>
          <a:ext cx="929346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7DD3D34E-640D-46FA-B3B0-B28E44646142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FD4BCB7D-3B69-42D1-892F-71F0D9AD525F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2B7B4D-BC1D-4480-9BA9-DDA9BEA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960" y="228600"/>
          <a:ext cx="2839342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475987</xdr:colOff>
      <xdr:row>31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BB00D7F-6F16-4DCF-8E2C-8D6999B6FCD3}"/>
            </a:ext>
          </a:extLst>
        </xdr:cNvPr>
        <xdr:cNvGrpSpPr/>
      </xdr:nvGrpSpPr>
      <xdr:grpSpPr>
        <a:xfrm>
          <a:off x="18269856" y="5991680"/>
          <a:ext cx="1328702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FA2EF2F8-CF64-49BE-BE4D-CD1412F9E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E9480573-15ED-4D48-88AB-AD1634614F75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663872</xdr:colOff>
      <xdr:row>55</xdr:row>
      <xdr:rowOff>168093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1850031-3043-4964-B51D-20A6FEC96F14}"/>
            </a:ext>
          </a:extLst>
        </xdr:cNvPr>
        <xdr:cNvGrpSpPr/>
      </xdr:nvGrpSpPr>
      <xdr:grpSpPr>
        <a:xfrm>
          <a:off x="17270020" y="10276755"/>
          <a:ext cx="1772566" cy="2364552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BCB3EDE0-098A-420E-B4B8-D130D04CC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20537D79-69B6-4CD7-9B90-6C76AD1CD51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245228</xdr:colOff>
      <xdr:row>27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9A70247-FE67-455C-B1E7-C5D9A82A68BE}"/>
            </a:ext>
          </a:extLst>
        </xdr:cNvPr>
        <xdr:cNvGrpSpPr/>
      </xdr:nvGrpSpPr>
      <xdr:grpSpPr>
        <a:xfrm>
          <a:off x="15575770" y="4736244"/>
          <a:ext cx="1515101" cy="1408002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EC4FCC30-5EEB-49A5-94BF-62C1E81085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7EFE846A-A89C-41FB-99D9-8F52B099FD0C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0903A81-B34A-43D3-9CA3-2E33A393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1200" y="6884924"/>
          <a:ext cx="3558217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131323</xdr:colOff>
      <xdr:row>6</xdr:row>
      <xdr:rowOff>75093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497270A-34C7-4723-96BA-47FEBD16F546}"/>
            </a:ext>
          </a:extLst>
        </xdr:cNvPr>
        <xdr:cNvGrpSpPr/>
      </xdr:nvGrpSpPr>
      <xdr:grpSpPr>
        <a:xfrm>
          <a:off x="16264166" y="69168"/>
          <a:ext cx="1502014" cy="1366639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AC8EEBA3-D26F-4592-B401-2C302B023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273687C4-18F8-48D9-BD35-DAAB4D0379D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705802</xdr:colOff>
      <xdr:row>35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6F8120BB-5710-402C-8C8D-E2D6724B6120}"/>
            </a:ext>
          </a:extLst>
        </xdr:cNvPr>
        <xdr:cNvGrpSpPr/>
      </xdr:nvGrpSpPr>
      <xdr:grpSpPr>
        <a:xfrm>
          <a:off x="0" y="6636074"/>
          <a:ext cx="1495016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0E7EED8D-4869-4307-A8D1-C28E68182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81642838-2D8F-4EAD-9612-0B07E9D79929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93344</xdr:colOff>
      <xdr:row>88</xdr:row>
      <xdr:rowOff>96657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18FDA80-D57C-4B29-BA75-828284EC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90109" y="19225216"/>
          <a:ext cx="1202055" cy="121684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512108</xdr:colOff>
      <xdr:row>88</xdr:row>
      <xdr:rowOff>95703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FC275B-1CEE-4D18-92E0-9554AF9F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93129" y="19220452"/>
          <a:ext cx="1031359" cy="122065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96656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4626A7F-8226-4EAE-87DA-49E0DFCC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89643" y="19227120"/>
          <a:ext cx="1061362" cy="121493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54147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4413F4D3-F586-4A9C-9E2F-0B9382D7B6A5}"/>
            </a:ext>
          </a:extLst>
        </xdr:cNvPr>
        <xdr:cNvGrpSpPr/>
      </xdr:nvGrpSpPr>
      <xdr:grpSpPr>
        <a:xfrm>
          <a:off x="18189644" y="45981"/>
          <a:ext cx="1542745" cy="1368880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99E3F0CB-BBEC-457D-8791-F9D5623C39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BD46F883-1D36-4EC6-9330-1BD51753DA7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553866</xdr:colOff>
      <xdr:row>6</xdr:row>
      <xdr:rowOff>136614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32B7ED2C-EF60-4D98-A407-E475CD995FB4}"/>
            </a:ext>
          </a:extLst>
        </xdr:cNvPr>
        <xdr:cNvGrpSpPr/>
      </xdr:nvGrpSpPr>
      <xdr:grpSpPr>
        <a:xfrm>
          <a:off x="20042141" y="136068"/>
          <a:ext cx="1548368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AC4AA3AF-EFB5-4F7C-AF79-01E1F3882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3C5A0132-4150-42BF-B6AD-5C90604F159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00"/>
  <sheetViews>
    <sheetView tabSelected="1" topLeftCell="A16" zoomScale="84" zoomScaleNormal="84" workbookViewId="0">
      <selection activeCell="S30" sqref="S30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6" ht="18" customHeight="1" x14ac:dyDescent="0.4">
      <c r="H4" s="163" t="s">
        <v>153</v>
      </c>
      <c r="I4" s="163"/>
      <c r="J4" s="164"/>
      <c r="K4" s="165"/>
      <c r="L4" s="165"/>
      <c r="M4" s="165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2" t="s">
        <v>132</v>
      </c>
      <c r="P5" s="116" t="s">
        <v>10</v>
      </c>
      <c r="Q5" s="116"/>
      <c r="R5" s="96"/>
      <c r="S5" s="97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68"/>
      <c r="Q7" s="168"/>
      <c r="R7" s="98"/>
      <c r="S7" s="99"/>
    </row>
    <row r="8" spans="1:36" ht="18" customHeight="1" thickBot="1" x14ac:dyDescent="0.45">
      <c r="H8" s="58"/>
      <c r="I8" s="58"/>
      <c r="J8" s="58"/>
      <c r="K8" s="58"/>
      <c r="L8" s="58"/>
      <c r="M8" s="58"/>
      <c r="P8" s="159" t="s">
        <v>208</v>
      </c>
      <c r="Q8" s="159"/>
      <c r="R8" s="137"/>
      <c r="S8" s="138"/>
    </row>
    <row r="9" spans="1:36" ht="18" customHeight="1" thickBot="1" x14ac:dyDescent="0.45">
      <c r="H9" s="58"/>
      <c r="I9" s="58"/>
      <c r="J9" s="58"/>
      <c r="K9" s="58"/>
      <c r="L9" s="58"/>
      <c r="M9" s="58"/>
      <c r="P9" s="155" t="s">
        <v>104</v>
      </c>
      <c r="Q9" s="155"/>
      <c r="R9" s="139" t="str">
        <f ca="1"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16" t="s">
        <v>13</v>
      </c>
      <c r="Q10" s="116"/>
      <c r="R10" s="143"/>
      <c r="S10" s="144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N</v>
      </c>
      <c r="AG10" s="2" t="s">
        <v>157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0</v>
      </c>
      <c r="AG11" s="2" t="s">
        <v>159</v>
      </c>
    </row>
    <row r="12" spans="1:36" ht="18" customHeight="1" x14ac:dyDescent="0.4">
      <c r="A12" s="51"/>
      <c r="B12" s="21"/>
      <c r="C12" s="13" t="s">
        <v>123</v>
      </c>
      <c r="D12" s="154" t="s">
        <v>188</v>
      </c>
      <c r="E12" s="154"/>
      <c r="F12" s="102">
        <v>44197</v>
      </c>
      <c r="G12" s="102"/>
      <c r="H12" s="57" t="s">
        <v>136</v>
      </c>
      <c r="I12" s="223">
        <v>0</v>
      </c>
      <c r="J12" s="223"/>
      <c r="K12"/>
      <c r="L12"/>
      <c r="M12"/>
      <c r="N12"/>
      <c r="O12"/>
      <c r="P12"/>
      <c r="Q12"/>
      <c r="R12"/>
      <c r="S12"/>
      <c r="W12" s="142"/>
      <c r="X12" s="142"/>
      <c r="AG12" s="2" t="s">
        <v>158</v>
      </c>
    </row>
    <row r="13" spans="1:36" ht="18" customHeight="1" thickBot="1" x14ac:dyDescent="0.45">
      <c r="A13"/>
      <c r="B13"/>
      <c r="AG13" s="58" t="s">
        <v>160</v>
      </c>
    </row>
    <row r="14" spans="1:36" ht="18" customHeight="1" thickBot="1" x14ac:dyDescent="0.45">
      <c r="A14"/>
      <c r="B14" s="21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6" ht="18" customHeight="1" thickBot="1" x14ac:dyDescent="0.45">
      <c r="A15" s="21"/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6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6" ht="18" customHeight="1" x14ac:dyDescent="0.4">
      <c r="A17" s="20"/>
      <c r="B17" s="21"/>
      <c r="C17" s="16"/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220"/>
      <c r="S17" s="25"/>
      <c r="AG17" s="58" t="s">
        <v>164</v>
      </c>
    </row>
    <row r="18" spans="1:36" s="21" customFormat="1" ht="18" customHeight="1" thickBot="1" x14ac:dyDescent="0.45">
      <c r="B18" s="3"/>
      <c r="C18" s="18"/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221"/>
      <c r="S18" s="26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165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57" t="s">
        <v>74</v>
      </c>
      <c r="AA19" s="158"/>
      <c r="AB19" s="14"/>
      <c r="AC19" s="2"/>
      <c r="AD19" s="2"/>
      <c r="AE19" s="2"/>
      <c r="AF19" s="2"/>
      <c r="AG19" s="58" t="s">
        <v>166</v>
      </c>
      <c r="AH19" s="2"/>
      <c r="AI19" s="2"/>
      <c r="AJ19" s="2"/>
    </row>
    <row r="20" spans="1:36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  <c r="AJ20" s="21"/>
    </row>
    <row r="21" spans="1:36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  <c r="AJ21" s="21"/>
    </row>
    <row r="22" spans="1:36" ht="18" customHeight="1" thickTop="1" x14ac:dyDescent="0.4">
      <c r="F22" s="124">
        <v>0</v>
      </c>
      <c r="G22" s="184" t="s">
        <v>188</v>
      </c>
      <c r="H22" s="185"/>
      <c r="I22" s="91" t="str">
        <f>IF(TVANExiste="Y",(SUMIFS(MontantsArticlesHT,RefsDevisEtDMP,$G22,CodesTVA,"N")+SUMIFS(MontantsArticlesHT,RefsDevisEtDMP,$G22,CodesTVA,"A + N")+SUMIF(UniqueRefDevisEtDMPs,$G22,TaxeAmeublementN))*$F22,"")</f>
        <v/>
      </c>
      <c r="J22" s="92"/>
      <c r="K22" s="33" t="str">
        <f>IF(TVANExiste="Y","N = 20 %","")</f>
        <v/>
      </c>
      <c r="L22" s="89" t="str">
        <f>IF(TVANExiste="Y",$I22*20%,"")</f>
        <v/>
      </c>
      <c r="M22" s="90"/>
      <c r="N22" s="180">
        <f>SUM($I22:$J23)+SUM($L22:$M23)</f>
        <v>0</v>
      </c>
      <c r="O22" s="181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169</v>
      </c>
      <c r="AH22" s="21"/>
      <c r="AI22" s="21"/>
    </row>
    <row r="23" spans="1:36" ht="18" customHeight="1" thickBot="1" x14ac:dyDescent="0.45">
      <c r="D23" s="14"/>
      <c r="E23" s="14"/>
      <c r="F23" s="125"/>
      <c r="G23" s="186"/>
      <c r="H23" s="187"/>
      <c r="I23" s="93" t="str">
        <f>IF(TVARExiste="Y",(SUMIFS(MontantsArticlesHT,RefsDevisEtDMP,$G22,CodesTVA,"R")+SUMIFS(MontantsArticlesHT,RefsDevisEtDMP,$G22,CodesTVA,"A + R")+SUMIF(UniqueRefDevisEtDMPs,$G22,TaxeAmeublementR))*$F22,"")</f>
        <v/>
      </c>
      <c r="J23" s="94"/>
      <c r="K23" s="35" t="str">
        <f>IF(TVARExiste="Y","R = 10 % *","")</f>
        <v/>
      </c>
      <c r="L23" s="93" t="str">
        <f>IF(TVARExiste="Y",$I23*10%,"")</f>
        <v/>
      </c>
      <c r="M23" s="94"/>
      <c r="N23" s="182"/>
      <c r="O23" s="183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170</v>
      </c>
      <c r="AH23" s="21"/>
      <c r="AI23" s="21"/>
    </row>
    <row r="24" spans="1:36" ht="18" customHeight="1" thickTop="1" x14ac:dyDescent="0.4">
      <c r="D24" s="14"/>
      <c r="E24" s="14"/>
      <c r="F24" s="126">
        <v>0</v>
      </c>
      <c r="G24" s="188" t="s">
        <v>24</v>
      </c>
      <c r="H24" s="189"/>
      <c r="I24" s="87" t="str">
        <f>IF(TVANExiste="Y",(SUMIFS(MontantsArticlesHT,RefsDevisEtDMP,$G24,CodesTVA,"N")+SUMIFS(MontantsArticlesHT,RefsDevisEtDMP,$G24,CodesTVA,"A + N")+SUMIF(UniqueRefDevisEtDMPs,$G24,TaxeAmeublementN))*$F24,"")</f>
        <v/>
      </c>
      <c r="J24" s="88"/>
      <c r="K24" s="23" t="str">
        <f>IF(TVANExiste="Y","N = 20 %","")</f>
        <v/>
      </c>
      <c r="L24" s="87" t="str">
        <f>IF(TVANExiste="Y",$I24*20%,"")</f>
        <v/>
      </c>
      <c r="M24" s="88"/>
      <c r="N24" s="176">
        <f>SUM($I24:$J25)+SUM($L24:$M25)</f>
        <v>0</v>
      </c>
      <c r="O24" s="177"/>
      <c r="P24" s="44"/>
      <c r="Q24" s="44"/>
      <c r="R24" s="44"/>
      <c r="S24" s="44"/>
      <c r="Y24" s="21"/>
      <c r="AG24" s="58" t="s">
        <v>171</v>
      </c>
    </row>
    <row r="25" spans="1:36" ht="18" customHeight="1" thickBot="1" x14ac:dyDescent="0.45">
      <c r="D25" s="14"/>
      <c r="E25" s="14"/>
      <c r="F25" s="127"/>
      <c r="G25" s="190"/>
      <c r="H25" s="191"/>
      <c r="I25" s="105" t="str">
        <f>IF(TVARExiste="Y",(SUMIFS(MontantsArticlesHT,RefsDevisEtDMP,$G24,CodesTVA,"R")+SUMIFS(MontantsArticlesHT,RefsDevisEtDMP,$G24,CodesTVA,"A + R")+SUMIF(UniqueRefDevisEtDMPs,$G24,TaxeAmeublementR))*$F24,"")</f>
        <v/>
      </c>
      <c r="J25" s="106"/>
      <c r="K25" s="22" t="str">
        <f>IF(TVARExiste="Y","R = 10 % *","")</f>
        <v/>
      </c>
      <c r="L25" s="105" t="str">
        <f>IF(TVARExiste="Y",$I25*10%,"")</f>
        <v/>
      </c>
      <c r="M25" s="106"/>
      <c r="N25" s="178"/>
      <c r="O25" s="179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172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173</v>
      </c>
    </row>
    <row r="27" spans="1:36" ht="18" customHeight="1" x14ac:dyDescent="0.4">
      <c r="A27" s="56"/>
      <c r="B27" s="47"/>
      <c r="C27" s="21"/>
      <c r="H27" s="195" t="str">
        <f ca="1"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0</v>
      </c>
      <c r="M27" s="194"/>
      <c r="U27" s="21"/>
      <c r="V27" s="21"/>
      <c r="W27" s="21"/>
      <c r="X27" s="21"/>
      <c r="Y27" s="21"/>
      <c r="Z27" s="56"/>
      <c r="AA27" s="56"/>
      <c r="AB27" s="56"/>
      <c r="AG27" s="58" t="s">
        <v>174</v>
      </c>
    </row>
    <row r="28" spans="1:36" ht="18" customHeight="1" thickBot="1" x14ac:dyDescent="0.45">
      <c r="A28" s="47"/>
      <c r="B28" s="47"/>
      <c r="H28" s="195"/>
      <c r="I28" s="195"/>
      <c r="J28" s="195"/>
      <c r="K28" s="195"/>
      <c r="L28" s="194"/>
      <c r="M28" s="194"/>
      <c r="U28" s="21"/>
      <c r="V28" s="21"/>
      <c r="W28" s="21"/>
      <c r="X28" s="21"/>
      <c r="Y28" s="21"/>
      <c r="AG28" s="58" t="s">
        <v>175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33" t="str">
        <f>IF(TVANExiste="Y","** dont Total T.V.A (N) 20 % : ","")</f>
        <v/>
      </c>
      <c r="I29" s="133"/>
      <c r="J29" s="133"/>
      <c r="K29" s="133"/>
      <c r="L29" s="129" t="str">
        <f>IF(TVANExiste="Y",SUMIF(TauxTVAAppeles,"N = 20 %",MontantsTVAAppeles),"")</f>
        <v/>
      </c>
      <c r="M29" s="129"/>
      <c r="N29" s="21"/>
      <c r="Y29" s="21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6" ht="18" customHeight="1" thickBot="1" x14ac:dyDescent="0.45">
      <c r="B30" s="21"/>
      <c r="H30" s="134" t="str">
        <f>IF(TVARExiste="Y","** dont Total T.V.A Réduit (R) 10 % : ","")</f>
        <v/>
      </c>
      <c r="I30" s="134"/>
      <c r="J30" s="134"/>
      <c r="K30" s="134"/>
      <c r="L30" s="129" t="str">
        <f>IF(TVARExiste="Y",SUMIF(TauxTVAAppeles,"R = 10 % *",MontantsTVAAppeles),"")</f>
        <v/>
      </c>
      <c r="M30" s="129"/>
      <c r="Y30" s="21"/>
      <c r="Z30" s="199"/>
      <c r="AA30" s="200"/>
      <c r="AB30" s="201"/>
      <c r="AC30" s="172"/>
      <c r="AG30" s="58" t="s">
        <v>177</v>
      </c>
    </row>
    <row r="31" spans="1:36" ht="18" customHeight="1" thickBot="1" x14ac:dyDescent="0.45">
      <c r="A31" s="21"/>
      <c r="B31" s="21"/>
      <c r="H31" s="115" t="str">
        <f>IF(TaxeAmeublementExiste="Y","** dont Taxe d'ameublement (A) 0,18% : ","")</f>
        <v/>
      </c>
      <c r="I31" s="115"/>
      <c r="J31" s="115"/>
      <c r="K31" s="115"/>
      <c r="L31" s="128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8"/>
      <c r="Y31" s="21"/>
      <c r="Z31" s="30"/>
      <c r="AA31" s="31" t="s">
        <v>63</v>
      </c>
      <c r="AB31" s="32" t="s">
        <v>93</v>
      </c>
      <c r="AC31" s="173"/>
      <c r="AG31" s="58" t="s">
        <v>178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2" t="s">
        <v>179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72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3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72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3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72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3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72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3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72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3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72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3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3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 t="s">
        <v>116</v>
      </c>
      <c r="AC49" s="49">
        <f>IFERROR(SUM(MontantsArticlesHT)+AC50,SUM(MontantsArticlesHT))</f>
        <v>0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 t="str">
        <f>IF(TaxeAmeublementExiste="Y","Taxe d'ameublement (A) 0,18%","")</f>
        <v/>
      </c>
      <c r="AC50" s="49" t="str">
        <f>IF(TaxeAmeublementExiste="Y",TotalTaxeAmeublement,"")</f>
        <v/>
      </c>
      <c r="AF50" s="44"/>
      <c r="AJ50" s="14"/>
    </row>
    <row r="51" spans="1:36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 t="s">
        <v>114</v>
      </c>
      <c r="AC51" s="49">
        <f>MontantTotalTVAN+MontantTotalTVAR</f>
        <v>0</v>
      </c>
      <c r="AD51" s="44"/>
      <c r="AE51" s="14"/>
      <c r="AF51" s="44"/>
      <c r="AG51" s="14"/>
      <c r="AH51" s="14"/>
      <c r="AI51" s="14"/>
      <c r="AJ51" s="14"/>
    </row>
    <row r="52" spans="1:36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 t="s">
        <v>90</v>
      </c>
      <c r="AC52" s="49">
        <f>AC49+AC51</f>
        <v>0</v>
      </c>
      <c r="AD52" s="14"/>
      <c r="AE52" s="44"/>
      <c r="AF52" s="44"/>
      <c r="AG52" s="14"/>
      <c r="AH52" s="14"/>
      <c r="AI52" s="14"/>
      <c r="AJ52" s="2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 t="s">
        <v>95</v>
      </c>
      <c r="AC53" s="49">
        <f>SUM(MontantsTTCAppeles)</f>
        <v>0</v>
      </c>
      <c r="AD53" s="44"/>
      <c r="AE53" s="14"/>
      <c r="AF53" s="14"/>
      <c r="AG53" s="14"/>
      <c r="AH53" s="14"/>
      <c r="AI53" s="14"/>
    </row>
    <row r="54" spans="1:36" customFormat="1" ht="18" customHeight="1" x14ac:dyDescent="0.4">
      <c r="C54" s="192" t="s">
        <v>75</v>
      </c>
      <c r="D54" s="192"/>
      <c r="E54" s="192"/>
      <c r="F54" s="192"/>
      <c r="I54" s="2"/>
      <c r="J54" s="2"/>
      <c r="K54" s="2"/>
      <c r="L54" s="2"/>
      <c r="M54" s="2"/>
      <c r="N54" s="2"/>
      <c r="O54" s="2"/>
      <c r="P54" s="116" t="s">
        <v>209</v>
      </c>
      <c r="Q54" s="116"/>
      <c r="R54" s="96">
        <f>R8</f>
        <v>0</v>
      </c>
      <c r="S54" s="97"/>
      <c r="T54" s="42"/>
      <c r="U54" s="42"/>
      <c r="V54" s="42"/>
      <c r="W54" s="42"/>
      <c r="X54" s="42"/>
      <c r="Y54" s="14"/>
      <c r="Z54" s="14"/>
      <c r="AA54" s="2"/>
      <c r="AB54" s="2" t="s">
        <v>115</v>
      </c>
      <c r="AC54" s="49">
        <f>AC52-AC53</f>
        <v>0</v>
      </c>
      <c r="AD54" s="2"/>
      <c r="AE54" s="2"/>
      <c r="AF54" s="2"/>
      <c r="AG54" s="2"/>
      <c r="AH54" s="2"/>
      <c r="AI54" s="2"/>
    </row>
    <row r="55" spans="1:36" customFormat="1" ht="18" customHeight="1" x14ac:dyDescent="0.4">
      <c r="C55" s="192"/>
      <c r="D55" s="192"/>
      <c r="E55" s="192"/>
      <c r="F55" s="192"/>
      <c r="I55" s="2"/>
      <c r="J55" s="2"/>
      <c r="K55" s="2"/>
      <c r="L55" s="2"/>
      <c r="M55" s="2"/>
      <c r="N55" s="2"/>
      <c r="O55" s="2"/>
      <c r="P55" s="168" t="s">
        <v>210</v>
      </c>
      <c r="Q55" s="193"/>
      <c r="R55" s="98" t="str">
        <f ca="1">R9</f>
        <v>FC-2020573</v>
      </c>
      <c r="S55" s="99"/>
      <c r="T55" s="42"/>
      <c r="U55" s="42"/>
      <c r="V55" s="42"/>
      <c r="W55" s="42"/>
      <c r="X55" s="42"/>
      <c r="AB55" s="14"/>
      <c r="AC55" s="2"/>
    </row>
    <row r="56" spans="1:36" customFormat="1" ht="18" customHeight="1" x14ac:dyDescent="0.4">
      <c r="C56" s="192"/>
      <c r="D56" s="192"/>
      <c r="E56" s="192"/>
      <c r="F56" s="192"/>
      <c r="I56" s="2"/>
      <c r="J56" s="2"/>
      <c r="K56" s="2"/>
      <c r="L56" s="2"/>
      <c r="M56" s="2"/>
      <c r="N56" s="2"/>
      <c r="O56" s="2"/>
      <c r="P56" s="168"/>
      <c r="Q56" s="193"/>
      <c r="R56" s="98"/>
      <c r="S56" s="99"/>
      <c r="T56" s="42"/>
      <c r="U56" s="42"/>
      <c r="V56" s="42"/>
      <c r="W56" s="42"/>
      <c r="X56" s="42"/>
      <c r="AB56" s="48" t="s">
        <v>117</v>
      </c>
      <c r="AC56" s="2" t="str">
        <f>template!$AB$52&amp;" "&amp;TEXT(template!$AC$52,"# ##0,00")&amp;" €"</f>
        <v>Total Devis T.T.C : 0,00 €</v>
      </c>
    </row>
    <row r="57" spans="1:36" customFormat="1" ht="18" customHeight="1" x14ac:dyDescent="0.4">
      <c r="I57" s="2"/>
      <c r="J57" s="2"/>
      <c r="K57" s="2"/>
      <c r="L57" s="2"/>
      <c r="M57" s="2"/>
      <c r="N57" s="2"/>
      <c r="O57" s="2"/>
      <c r="P57" s="168"/>
      <c r="Q57" s="193"/>
      <c r="R57" s="98"/>
      <c r="S57" s="99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x14ac:dyDescent="0.4">
      <c r="A59" s="2"/>
      <c r="B59" s="21"/>
      <c r="C59" s="13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13" t="str">
        <f>H12</f>
        <v>Montant T.T.C :</v>
      </c>
      <c r="I59" s="100">
        <f>I12</f>
        <v>0</v>
      </c>
      <c r="J59" s="100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x14ac:dyDescent="0.4">
      <c r="C61" s="56"/>
      <c r="D61" s="55"/>
      <c r="E61" s="55"/>
      <c r="F61" s="56"/>
      <c r="G61" s="56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21" t="s">
        <v>155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x14ac:dyDescent="0.4">
      <c r="G62" s="2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13"/>
      <c r="U62" s="52" t="s">
        <v>110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/>
      <c r="I63" s="103"/>
      <c r="J63" s="103"/>
      <c r="K63" s="103"/>
      <c r="L63" s="135"/>
      <c r="M63" s="135"/>
      <c r="N63" s="114"/>
      <c r="O63" s="114"/>
      <c r="P63" s="114"/>
      <c r="Q63" s="114"/>
      <c r="R63" s="103"/>
      <c r="S63" s="10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T65" s="21"/>
      <c r="U65" s="52" t="s">
        <v>120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T66" s="13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0</v>
      </c>
      <c r="K68" s="202"/>
      <c r="L68"/>
      <c r="Q68"/>
      <c r="R68"/>
      <c r="S68"/>
      <c r="U68" s="71" t="s">
        <v>126</v>
      </c>
      <c r="W68" s="42"/>
      <c r="AJ68" s="21"/>
    </row>
    <row r="69" spans="1:36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21" t="s">
        <v>86</v>
      </c>
      <c r="Q69"/>
      <c r="R69"/>
      <c r="S69"/>
      <c r="U69" s="52" t="s">
        <v>127</v>
      </c>
      <c r="W69" s="42"/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$AC$52-SUM(MontantsFacturesAppeles)</f>
        <v>0</v>
      </c>
      <c r="K71" s="203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6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6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2" t="s">
        <v>186</v>
      </c>
    </row>
    <row r="75" spans="1:36" ht="18" customHeight="1" x14ac:dyDescent="0.4">
      <c r="A75"/>
      <c r="B75"/>
      <c r="C75" s="21"/>
      <c r="D75" s="21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2" t="s">
        <v>207</v>
      </c>
    </row>
    <row r="76" spans="1:36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  <c r="U76" s="2" t="s">
        <v>211</v>
      </c>
    </row>
    <row r="77" spans="1:36" ht="18" customHeight="1" x14ac:dyDescent="0.4">
      <c r="A77"/>
      <c r="B77"/>
      <c r="C77" s="21"/>
      <c r="D77" s="21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</row>
    <row r="78" spans="1:36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2" t="s">
        <v>106</v>
      </c>
      <c r="V79" s="42"/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  <c r="U80" s="42"/>
      <c r="V80" s="42" t="s">
        <v>107</v>
      </c>
    </row>
    <row r="81" spans="1:36" ht="18" customHeight="1" x14ac:dyDescent="0.4">
      <c r="A81"/>
      <c r="B81"/>
      <c r="C81" s="47"/>
      <c r="R81"/>
      <c r="S81"/>
      <c r="U81" s="42"/>
      <c r="V81" s="42" t="s">
        <v>108</v>
      </c>
    </row>
    <row r="82" spans="1:36" ht="36" customHeight="1" x14ac:dyDescent="0.65">
      <c r="A82"/>
      <c r="B82"/>
      <c r="C82" s="47"/>
      <c r="D82" s="21"/>
      <c r="E82" s="21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36" ht="18" customHeight="1" x14ac:dyDescent="0.4">
      <c r="A83"/>
      <c r="B83"/>
      <c r="C83" s="47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36" x14ac:dyDescent="0.4">
      <c r="C92" s="58"/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N20:O21"/>
    <mergeCell ref="I20:J21"/>
    <mergeCell ref="L20:M21"/>
    <mergeCell ref="K20:K21"/>
    <mergeCell ref="C14:C16"/>
    <mergeCell ref="L24:M24"/>
    <mergeCell ref="L22:M22"/>
    <mergeCell ref="I22:J22"/>
    <mergeCell ref="I23:J23"/>
    <mergeCell ref="R61:S62"/>
    <mergeCell ref="R54:S54"/>
    <mergeCell ref="R55:S57"/>
    <mergeCell ref="I59:J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zoomScale="84" zoomScaleNormal="84" workbookViewId="0">
      <selection activeCell="W6" sqref="W6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110496.42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5914.4112000000005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2732.9104000000002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22" t="s">
        <v>68</v>
      </c>
      <c r="G52" s="132" t="s">
        <v>69</v>
      </c>
      <c r="H52" s="132"/>
      <c r="I52" s="132" t="s">
        <v>70</v>
      </c>
      <c r="J52" s="132"/>
      <c r="K52" s="122" t="s">
        <v>73</v>
      </c>
      <c r="L52" s="132" t="s">
        <v>71</v>
      </c>
      <c r="M52" s="132"/>
      <c r="N52" s="132" t="s">
        <v>72</v>
      </c>
      <c r="O52" s="132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3"/>
      <c r="G53" s="132"/>
      <c r="H53" s="132"/>
      <c r="I53" s="132"/>
      <c r="J53" s="132"/>
      <c r="K53" s="123"/>
      <c r="L53" s="132"/>
      <c r="M53" s="132"/>
      <c r="N53" s="132"/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4">
        <v>0.4</v>
      </c>
      <c r="G54" s="184" t="s">
        <v>23</v>
      </c>
      <c r="H54" s="185"/>
      <c r="I54" s="91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92"/>
      <c r="K54" s="33" t="str">
        <f>IF(TVANExiste="Y","N = 20 %","")</f>
        <v>N = 20 %</v>
      </c>
      <c r="L54" s="89">
        <f>IF(TVANExiste="Y",$I54*20%,"")</f>
        <v>7366.4283200000009</v>
      </c>
      <c r="M54" s="90"/>
      <c r="N54" s="180">
        <f>SUM($I54:$J55)+SUM($L54:$M55)</f>
        <v>44198.569920000002</v>
      </c>
      <c r="O54" s="181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5"/>
      <c r="G55" s="186"/>
      <c r="H55" s="187"/>
      <c r="I55" s="93">
        <f>IF(TVARExiste="Y",(SUMIFS(MontantsArticlesHT,RefsDevisEtDMP,$G54,CodesTVA,"R")+SUMIFS(MontantsArticlesHT,RefsDevisEtDMP,$G54,CodesTVA,"A + R")+SUMIF(UniqueRefDevisEtDMPs,$G54,TaxeAmeublementR))*$F54,"")</f>
        <v>0</v>
      </c>
      <c r="J55" s="94"/>
      <c r="K55" s="69" t="str">
        <f>IF(TVARExiste="Y","R = 10 % *","")</f>
        <v>R = 10 % *</v>
      </c>
      <c r="L55" s="93">
        <f>IF(TVARExiste="Y",$I55*10%,"")</f>
        <v>0</v>
      </c>
      <c r="M55" s="94"/>
      <c r="N55" s="182"/>
      <c r="O55" s="183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26">
        <v>0.8</v>
      </c>
      <c r="G56" s="188" t="s">
        <v>24</v>
      </c>
      <c r="H56" s="189"/>
      <c r="I56" s="87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88"/>
      <c r="K56" s="23" t="str">
        <f>IF(TVANExiste="Y","N = 20 %","")</f>
        <v>N = 20 %</v>
      </c>
      <c r="L56" s="87">
        <f>IF(TVANExiste="Y",$I56*20%,"")</f>
        <v>181.7944</v>
      </c>
      <c r="M56" s="88"/>
      <c r="N56" s="176">
        <f>SUM($I56:$J57)+SUM($L56:$M57)</f>
        <v>1090.7664</v>
      </c>
      <c r="O56" s="177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27"/>
      <c r="G57" s="190"/>
      <c r="H57" s="191"/>
      <c r="I57" s="105">
        <f>IF(TVARExiste="Y",(SUMIFS(MontantsArticlesHT,RefsDevisEtDMP,$G56,CodesTVA,"R")+SUMIFS(MontantsArticlesHT,RefsDevisEtDMP,$G56,CodesTVA,"A + R")+SUMIF(UniqueRefDevisEtDMPs,$G56,TaxeAmeublementR))*$F56,"")</f>
        <v>0</v>
      </c>
      <c r="J57" s="106"/>
      <c r="K57" s="22" t="str">
        <f>IF(TVARExiste="Y","R = 10 % *","")</f>
        <v>R = 10 % *</v>
      </c>
      <c r="L57" s="105">
        <f>IF(TVARExiste="Y",$I57*10%,"")</f>
        <v>0</v>
      </c>
      <c r="M57" s="106"/>
      <c r="N57" s="178"/>
      <c r="O57" s="179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4">
        <v>0.8</v>
      </c>
      <c r="G58" s="184" t="s">
        <v>25</v>
      </c>
      <c r="H58" s="185"/>
      <c r="I58" s="91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92"/>
      <c r="K58" s="33" t="str">
        <f>IF(TVANExiste="Y","N = 20 %","")</f>
        <v>N = 20 %</v>
      </c>
      <c r="L58" s="89">
        <f>IF(TVANExiste="Y",$I58*20%,"")</f>
        <v>788.58816000000013</v>
      </c>
      <c r="M58" s="90"/>
      <c r="N58" s="180">
        <f>SUM($I58:$J59)+SUM($L58:$M59)</f>
        <v>4731.5289600000006</v>
      </c>
      <c r="O58" s="181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5"/>
      <c r="G59" s="186"/>
      <c r="H59" s="187"/>
      <c r="I59" s="93">
        <f>IF(TVARExiste="Y",(SUMIFS(MontantsArticlesHT,RefsDevisEtDMP,$G58,CodesTVA,"R")+SUMIFS(MontantsArticlesHT,RefsDevisEtDMP,$G58,CodesTVA,"A + R")+SUMIF(UniqueRefDevisEtDMPs,$G58,TaxeAmeublementR))*$F58,"")</f>
        <v>0</v>
      </c>
      <c r="J59" s="94"/>
      <c r="K59" s="69" t="str">
        <f>IF(TVARExiste="Y","R = 10 % *","")</f>
        <v>R = 10 % *</v>
      </c>
      <c r="L59" s="93">
        <f>IF(TVARExiste="Y",$I59*10%,"")</f>
        <v>0</v>
      </c>
      <c r="M59" s="94"/>
      <c r="N59" s="182"/>
      <c r="O59" s="183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26">
        <v>0.8</v>
      </c>
      <c r="G60" s="188" t="s">
        <v>119</v>
      </c>
      <c r="H60" s="189"/>
      <c r="I60" s="87">
        <f>IF(TVANExiste="Y",(SUMIFS(MontantsArticlesHT,RefsDevisEtDMP,$G60,CodesTVA,"N")+SUMIFS(MontantsArticlesHT,RefsDevisEtDMP,$G60,CodesTVA,"A + N")+SUMIF(UniqueRefDevisEtDMPs,$G60,TaxeAmeublementN))*$F60,"")</f>
        <v>0</v>
      </c>
      <c r="J60" s="88"/>
      <c r="K60" s="23" t="str">
        <f>IF(TVANExiste="Y","N = 20 %","")</f>
        <v>N = 20 %</v>
      </c>
      <c r="L60" s="87">
        <f>IF(TVANExiste="Y",$I60*20%,"")</f>
        <v>0</v>
      </c>
      <c r="M60" s="88"/>
      <c r="N60" s="176">
        <f>SUM($I60:$J61)+SUM($L60:$M61)</f>
        <v>2186.3283200000001</v>
      </c>
      <c r="O60" s="177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27"/>
      <c r="G61" s="190"/>
      <c r="H61" s="191"/>
      <c r="I61" s="105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06"/>
      <c r="K61" s="22" t="str">
        <f>IF(TVARExiste="Y","R = 10 % *","")</f>
        <v>R = 10 % *</v>
      </c>
      <c r="L61" s="105">
        <f>IF(TVARExiste="Y",$I61*10%,"")</f>
        <v>198.75712000000001</v>
      </c>
      <c r="M61" s="106"/>
      <c r="N61" s="178"/>
      <c r="O61" s="179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4">
        <v>0.2</v>
      </c>
      <c r="G62" s="184" t="s">
        <v>119</v>
      </c>
      <c r="H62" s="185"/>
      <c r="I62" s="91">
        <f>IF(TVANExiste="Y",(SUMIFS(MontantsArticlesHT,RefsDevisEtDMP,$G62,CodesTVA,"N")+SUMIFS(MontantsArticlesHT,RefsDevisEtDMP,$G62,CodesTVA,"A + N")+SUMIF(UniqueRefDevisEtDMPs,$G62,TaxeAmeublementN))*$F62,"")</f>
        <v>0</v>
      </c>
      <c r="J62" s="92"/>
      <c r="K62" s="33" t="str">
        <f>IF(TVANExiste="Y","N = 20 %","")</f>
        <v>N = 20 %</v>
      </c>
      <c r="L62" s="89">
        <f>IF(TVANExiste="Y",$I62*20%,"")</f>
        <v>0</v>
      </c>
      <c r="M62" s="90"/>
      <c r="N62" s="180">
        <f>SUM($I62:$J63)+SUM($L62:$M63)</f>
        <v>546.58208000000002</v>
      </c>
      <c r="O62" s="181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5"/>
      <c r="G63" s="186"/>
      <c r="H63" s="187"/>
      <c r="I63" s="93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94"/>
      <c r="K63" s="69" t="str">
        <f>IF(TVARExiste="Y","R = 10 % *","")</f>
        <v>R = 10 % *</v>
      </c>
      <c r="L63" s="93">
        <f>IF(TVARExiste="Y",$I63*10%,"")</f>
        <v>49.689280000000004</v>
      </c>
      <c r="M63" s="94"/>
      <c r="N63" s="182"/>
      <c r="O63" s="183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195" t="str">
        <f>CONCATENATE("Montant dû sur facture ",$W$6," : ")</f>
        <v xml:space="preserve">Montant dû sur facture FC-2020573 : </v>
      </c>
      <c r="I65" s="195"/>
      <c r="J65" s="195"/>
      <c r="K65" s="195"/>
      <c r="L65" s="194">
        <f>SUM(MontantsTTCAppeles)</f>
        <v>52753.775680000006</v>
      </c>
      <c r="M65" s="194"/>
      <c r="U65" s="71" t="s">
        <v>126</v>
      </c>
    </row>
    <row r="66" spans="1:22" ht="18" customHeight="1" x14ac:dyDescent="0.4">
      <c r="H66" s="195"/>
      <c r="I66" s="195"/>
      <c r="J66" s="195"/>
      <c r="K66" s="195"/>
      <c r="L66" s="194"/>
      <c r="M66" s="194"/>
      <c r="U66" s="52" t="s">
        <v>127</v>
      </c>
    </row>
    <row r="67" spans="1:22" ht="18" customHeight="1" x14ac:dyDescent="0.4">
      <c r="H67" s="133" t="str">
        <f>IF(TVANExiste="Y","** dont Total T.V.A (N) 20 % : ","")</f>
        <v xml:space="preserve">** dont Total T.V.A (N) 20 % : </v>
      </c>
      <c r="I67" s="133"/>
      <c r="J67" s="133"/>
      <c r="K67" s="133"/>
      <c r="L67" s="129">
        <f>IF(TVANExiste="Y",SUMIF(TauxTVAAppeles,"N = 20 %",MontantsTVAAppeles),"")</f>
        <v>8336.8108800000009</v>
      </c>
      <c r="M67" s="129"/>
      <c r="U67" s="58" t="s">
        <v>133</v>
      </c>
    </row>
    <row r="68" spans="1:22" ht="18" customHeight="1" x14ac:dyDescent="0.4">
      <c r="H68" s="134" t="str">
        <f>IF(TVARExiste="Y","** dont Total T.V.A Réduit (R) 10 % : ","")</f>
        <v xml:space="preserve">** dont Total T.V.A Réduit (R) 10 % : </v>
      </c>
      <c r="I68" s="134"/>
      <c r="J68" s="134"/>
      <c r="K68" s="134"/>
      <c r="L68" s="129">
        <f>IF(TVARExiste="Y",SUMIF(TauxTVAAppeles,"R = 10 % *",MontantsTVAAppeles),"")</f>
        <v>248.44640000000001</v>
      </c>
      <c r="M68" s="129"/>
      <c r="U68" s="52" t="s">
        <v>154</v>
      </c>
    </row>
    <row r="69" spans="1:22" ht="18" customHeight="1" x14ac:dyDescent="0.4">
      <c r="B69" s="20"/>
      <c r="H69" s="115" t="str">
        <f>IF(TaxeAmeublementExiste="Y","** dont Taxe d'ameublement (A) 0,18% : ","")</f>
        <v xml:space="preserve">** dont Taxe d'ameublement (A) 0,18% : </v>
      </c>
      <c r="I69" s="115"/>
      <c r="J69" s="115"/>
      <c r="K69" s="115"/>
      <c r="L69" s="128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28"/>
      <c r="U69" s="58" t="s">
        <v>184</v>
      </c>
    </row>
    <row r="70" spans="1:22" ht="18" customHeight="1" x14ac:dyDescent="0.4">
      <c r="A70" s="20"/>
      <c r="B70"/>
      <c r="H70" s="67"/>
      <c r="I70" s="67"/>
      <c r="J70" s="67"/>
      <c r="K70" s="67"/>
      <c r="L70" s="68"/>
      <c r="M70" s="68"/>
      <c r="U70" s="58" t="s">
        <v>185</v>
      </c>
    </row>
    <row r="71" spans="1:22" ht="18" customHeight="1" x14ac:dyDescent="0.4">
      <c r="A71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8"/>
    </row>
    <row r="92" spans="1:19" x14ac:dyDescent="0.4">
      <c r="A92"/>
      <c r="B92"/>
      <c r="C92" s="192" t="s">
        <v>75</v>
      </c>
      <c r="D92" s="192"/>
      <c r="E92" s="192"/>
      <c r="F92" s="192"/>
      <c r="G92"/>
      <c r="H92"/>
      <c r="P92" s="116" t="s">
        <v>76</v>
      </c>
      <c r="Q92" s="116"/>
      <c r="R92" s="96">
        <f>R8</f>
        <v>2</v>
      </c>
      <c r="S92" s="97"/>
    </row>
    <row r="93" spans="1:19" ht="17.399999999999999" customHeight="1" x14ac:dyDescent="0.4">
      <c r="A93"/>
      <c r="B93"/>
      <c r="C93" s="192"/>
      <c r="D93" s="192"/>
      <c r="E93" s="192"/>
      <c r="F93" s="192"/>
      <c r="G93"/>
      <c r="H93"/>
      <c r="P93" s="168" t="s">
        <v>77</v>
      </c>
      <c r="Q93" s="193"/>
      <c r="R93" s="98" t="str">
        <f>R9</f>
        <v>FC-2020573</v>
      </c>
      <c r="S93" s="99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/>
      <c r="Q94" s="193"/>
      <c r="R94" s="98"/>
      <c r="S94" s="99"/>
    </row>
    <row r="95" spans="1:19" ht="17.399999999999999" customHeight="1" x14ac:dyDescent="0.4">
      <c r="A95"/>
      <c r="C95"/>
      <c r="D95"/>
      <c r="E95"/>
      <c r="F95"/>
      <c r="G95"/>
      <c r="H95"/>
      <c r="P95" s="168"/>
      <c r="Q95" s="193"/>
      <c r="R95" s="98"/>
      <c r="S95" s="99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154" t="str">
        <f t="shared" si="3"/>
        <v>D.201107.02</v>
      </c>
      <c r="E97" s="154"/>
      <c r="F97" s="204">
        <f t="shared" ref="F97:F103" si="4">F12</f>
        <v>44224</v>
      </c>
      <c r="G97" s="204"/>
      <c r="H97" s="58" t="str">
        <f t="shared" ref="H97:I103" si="5">H12</f>
        <v>Montant T.T.C :</v>
      </c>
      <c r="I97" s="100">
        <f t="shared" si="5"/>
        <v>110496.42</v>
      </c>
      <c r="J97" s="100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154" t="str">
        <f t="shared" si="3"/>
        <v>D.201107.03</v>
      </c>
      <c r="E98" s="154"/>
      <c r="F98" s="204">
        <f t="shared" si="4"/>
        <v>44304</v>
      </c>
      <c r="G98" s="204"/>
      <c r="H98" s="58" t="str">
        <f t="shared" si="5"/>
        <v>Montant T.T.C :</v>
      </c>
      <c r="I98" s="100">
        <f t="shared" si="5"/>
        <v>0</v>
      </c>
      <c r="J98" s="100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D.201107.04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154" t="str">
        <f t="shared" si="3"/>
        <v>DMP1.201107.02</v>
      </c>
      <c r="E100" s="154"/>
      <c r="F100" s="204">
        <f t="shared" si="4"/>
        <v>44224</v>
      </c>
      <c r="G100" s="204"/>
      <c r="H100" s="58" t="str">
        <f t="shared" si="5"/>
        <v>Montant T.T.C :</v>
      </c>
      <c r="I100" s="100">
        <f t="shared" si="5"/>
        <v>1363.4579999999999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DMP2.201107.02</v>
      </c>
      <c r="E101" s="154"/>
      <c r="F101" s="204">
        <f t="shared" si="4"/>
        <v>44236</v>
      </c>
      <c r="G101" s="204"/>
      <c r="H101" s="58" t="str">
        <f t="shared" si="5"/>
        <v>Montant T.T.C :</v>
      </c>
      <c r="I101" s="100">
        <f t="shared" si="5"/>
        <v>5914.4112000000005</v>
      </c>
      <c r="J101" s="100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DMP3.201107.02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2732.9104000000002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DMP4.201107.02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539.97020000000009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6"/>
      <c r="E104" s="66"/>
      <c r="K104"/>
      <c r="L104"/>
      <c r="M104"/>
      <c r="N104"/>
      <c r="O104"/>
    </row>
    <row r="105" spans="1:19" x14ac:dyDescent="0.4">
      <c r="A105"/>
      <c r="B105"/>
      <c r="D105" s="66"/>
      <c r="E105" s="66"/>
      <c r="H105" s="117" t="s">
        <v>80</v>
      </c>
      <c r="I105" s="117"/>
      <c r="J105" s="117" t="s">
        <v>81</v>
      </c>
      <c r="K105" s="117"/>
      <c r="L105" s="117" t="s">
        <v>84</v>
      </c>
      <c r="M105" s="117"/>
      <c r="N105" s="117" t="s">
        <v>82</v>
      </c>
      <c r="O105" s="117"/>
      <c r="P105" s="117"/>
      <c r="Q105" s="117"/>
      <c r="R105" s="95" t="s">
        <v>83</v>
      </c>
      <c r="S105" s="95"/>
    </row>
    <row r="106" spans="1:19" x14ac:dyDescent="0.4">
      <c r="A106"/>
      <c r="B106"/>
      <c r="C106"/>
      <c r="D106"/>
      <c r="E106"/>
      <c r="F106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95"/>
      <c r="S106" s="95"/>
    </row>
    <row r="107" spans="1:19" x14ac:dyDescent="0.4">
      <c r="A107"/>
      <c r="B107"/>
      <c r="C107" s="205" t="s">
        <v>78</v>
      </c>
      <c r="D107" s="206"/>
      <c r="E107" s="119">
        <v>1</v>
      </c>
      <c r="F107" s="119" t="s">
        <v>79</v>
      </c>
      <c r="G107" s="119"/>
      <c r="H107" s="103">
        <v>12000</v>
      </c>
      <c r="I107" s="103"/>
      <c r="J107" s="103">
        <v>30000</v>
      </c>
      <c r="K107" s="103"/>
      <c r="L107" s="135">
        <v>44423</v>
      </c>
      <c r="M107" s="135"/>
      <c r="N107" s="114" t="s">
        <v>85</v>
      </c>
      <c r="O107" s="114"/>
      <c r="P107" s="114"/>
      <c r="Q107" s="114"/>
      <c r="R107" s="103">
        <v>14198.57</v>
      </c>
      <c r="S107" s="103"/>
    </row>
    <row r="108" spans="1:19" x14ac:dyDescent="0.4">
      <c r="A108"/>
      <c r="B108"/>
      <c r="C108" s="207"/>
      <c r="D108" s="208"/>
      <c r="E108" s="119"/>
      <c r="F108" s="119"/>
      <c r="G108" s="119"/>
      <c r="H108" s="103"/>
      <c r="I108" s="103"/>
      <c r="J108" s="103"/>
      <c r="K108" s="103"/>
      <c r="L108" s="135"/>
      <c r="M108" s="135"/>
      <c r="N108" s="114"/>
      <c r="O108" s="114"/>
      <c r="P108" s="114"/>
      <c r="Q108" s="114"/>
      <c r="R108" s="103"/>
      <c r="S108" s="103"/>
    </row>
    <row r="109" spans="1:19" x14ac:dyDescent="0.4">
      <c r="A109"/>
      <c r="B109"/>
      <c r="C109" s="209" t="s">
        <v>78</v>
      </c>
      <c r="D109" s="210"/>
      <c r="E109" s="131">
        <v>2</v>
      </c>
      <c r="F109" s="131" t="s">
        <v>124</v>
      </c>
      <c r="G109" s="131"/>
      <c r="H109" s="104">
        <v>11000</v>
      </c>
      <c r="I109" s="104"/>
      <c r="J109" s="104">
        <v>30000</v>
      </c>
      <c r="K109" s="104"/>
      <c r="L109" s="113">
        <v>44423</v>
      </c>
      <c r="M109" s="113"/>
      <c r="N109" s="136" t="s">
        <v>85</v>
      </c>
      <c r="O109" s="136"/>
      <c r="P109" s="136"/>
      <c r="Q109" s="136"/>
      <c r="R109" s="104">
        <v>14198.57</v>
      </c>
      <c r="S109" s="104"/>
    </row>
    <row r="110" spans="1:19" x14ac:dyDescent="0.4">
      <c r="A110"/>
      <c r="B110"/>
      <c r="C110" s="211"/>
      <c r="D110" s="212"/>
      <c r="E110" s="131"/>
      <c r="F110" s="131"/>
      <c r="G110" s="131"/>
      <c r="H110" s="104"/>
      <c r="I110" s="104"/>
      <c r="J110" s="104"/>
      <c r="K110" s="104"/>
      <c r="L110" s="113"/>
      <c r="M110" s="113"/>
      <c r="N110" s="136"/>
      <c r="O110" s="136"/>
      <c r="P110" s="136"/>
      <c r="Q110" s="136"/>
      <c r="R110" s="104"/>
      <c r="S110" s="104"/>
    </row>
    <row r="111" spans="1:19" x14ac:dyDescent="0.4">
      <c r="A111"/>
      <c r="B111"/>
      <c r="C111" s="205" t="s">
        <v>78</v>
      </c>
      <c r="D111" s="206"/>
      <c r="E111" s="119">
        <v>3</v>
      </c>
      <c r="F111" s="119"/>
      <c r="G111" s="119"/>
      <c r="H111" s="103">
        <v>43000</v>
      </c>
      <c r="I111" s="103"/>
      <c r="J111" s="103"/>
      <c r="K111" s="103"/>
      <c r="L111" s="135"/>
      <c r="M111" s="135"/>
      <c r="N111" s="114"/>
      <c r="O111" s="114"/>
      <c r="P111" s="114"/>
      <c r="Q111" s="114"/>
      <c r="R111" s="103">
        <v>10000</v>
      </c>
      <c r="S111" s="103"/>
    </row>
    <row r="112" spans="1:19" x14ac:dyDescent="0.4">
      <c r="A112"/>
      <c r="B112"/>
      <c r="C112" s="207"/>
      <c r="D112" s="208"/>
      <c r="E112" s="119"/>
      <c r="F112" s="119"/>
      <c r="G112" s="119"/>
      <c r="H112" s="103"/>
      <c r="I112" s="103"/>
      <c r="J112" s="103"/>
      <c r="K112" s="103"/>
      <c r="L112" s="135"/>
      <c r="M112" s="135"/>
      <c r="N112" s="114"/>
      <c r="O112" s="114"/>
      <c r="P112" s="114"/>
      <c r="Q112" s="114"/>
      <c r="R112" s="103"/>
      <c r="S112" s="103"/>
    </row>
    <row r="113" spans="1:19" x14ac:dyDescent="0.4">
      <c r="A113"/>
      <c r="B113"/>
      <c r="C113" s="209" t="s">
        <v>78</v>
      </c>
      <c r="D113" s="210"/>
      <c r="E113" s="131">
        <v>4</v>
      </c>
      <c r="F113" s="131"/>
      <c r="G113" s="131"/>
      <c r="H113" s="104">
        <f>$L$65</f>
        <v>52753.775680000006</v>
      </c>
      <c r="I113" s="104"/>
      <c r="J113" s="104"/>
      <c r="K113" s="104"/>
      <c r="L113" s="113"/>
      <c r="M113" s="113"/>
      <c r="N113" s="136"/>
      <c r="O113" s="136"/>
      <c r="P113" s="136"/>
      <c r="Q113" s="136"/>
      <c r="R113" s="104">
        <v>12000</v>
      </c>
      <c r="S113" s="104"/>
    </row>
    <row r="114" spans="1:19" x14ac:dyDescent="0.4">
      <c r="A114"/>
      <c r="B114"/>
      <c r="C114" s="211"/>
      <c r="D114" s="212"/>
      <c r="E114" s="131"/>
      <c r="F114" s="131"/>
      <c r="G114" s="131"/>
      <c r="H114" s="104"/>
      <c r="I114" s="104"/>
      <c r="J114" s="104"/>
      <c r="K114" s="104"/>
      <c r="L114" s="113"/>
      <c r="M114" s="113"/>
      <c r="N114" s="136"/>
      <c r="O114" s="136"/>
      <c r="P114" s="136"/>
      <c r="Q114" s="136"/>
      <c r="R114" s="104"/>
      <c r="S114" s="104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18" t="s">
        <v>96</v>
      </c>
      <c r="F116" s="118"/>
      <c r="G116" s="118"/>
      <c r="H116" s="118"/>
      <c r="I116" s="118"/>
      <c r="J116" s="202">
        <f>SUM(RestantsDusSurFacturesAppeles)</f>
        <v>50397.14</v>
      </c>
      <c r="K116" s="202"/>
      <c r="L116"/>
      <c r="Q116"/>
      <c r="R116"/>
      <c r="S116"/>
    </row>
    <row r="117" spans="1:19" x14ac:dyDescent="0.4">
      <c r="A117" s="12"/>
      <c r="B117"/>
      <c r="C117"/>
      <c r="D117"/>
      <c r="E117" s="118"/>
      <c r="F117" s="118"/>
      <c r="G117" s="118"/>
      <c r="H117" s="118"/>
      <c r="I117" s="118"/>
      <c r="J117" s="202"/>
      <c r="K117" s="202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203">
        <f>$AC$48-SUM(MontantsFacturesAppeles)</f>
        <v>2293.3989199999924</v>
      </c>
      <c r="K119" s="203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30" t="s">
        <v>103</v>
      </c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/>
      <c r="Q121"/>
    </row>
    <row r="122" spans="1:19" x14ac:dyDescent="0.4">
      <c r="A122"/>
      <c r="B122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20" t="s">
        <v>97</v>
      </c>
      <c r="F123" s="120"/>
      <c r="G123" s="120"/>
      <c r="H123" s="120"/>
      <c r="I123" s="120"/>
      <c r="J123" s="120"/>
      <c r="K123" s="120" t="s">
        <v>99</v>
      </c>
      <c r="L123" s="120"/>
      <c r="M123" s="120" t="s">
        <v>101</v>
      </c>
      <c r="N123" s="120"/>
      <c r="O123" s="120"/>
      <c r="P123"/>
      <c r="Q123"/>
    </row>
    <row r="124" spans="1:19" x14ac:dyDescent="0.4">
      <c r="A124"/>
      <c r="B124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/>
      <c r="Q124"/>
    </row>
    <row r="125" spans="1:19" x14ac:dyDescent="0.4">
      <c r="A125"/>
      <c r="B125"/>
      <c r="E125" s="121" t="s">
        <v>98</v>
      </c>
      <c r="F125" s="121"/>
      <c r="G125" s="121"/>
      <c r="H125" s="121"/>
      <c r="I125" s="121"/>
      <c r="J125" s="121"/>
      <c r="K125" s="121" t="s">
        <v>100</v>
      </c>
      <c r="L125" s="121"/>
      <c r="M125" s="121" t="s">
        <v>102</v>
      </c>
      <c r="N125" s="121"/>
      <c r="O125" s="121"/>
      <c r="P125"/>
      <c r="Q125"/>
    </row>
    <row r="126" spans="1:19" x14ac:dyDescent="0.4">
      <c r="A126"/>
      <c r="B126"/>
      <c r="C126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70" t="s">
        <v>180</v>
      </c>
      <c r="G130" s="170"/>
      <c r="H130" s="170"/>
      <c r="I130" s="170"/>
      <c r="J130" s="170"/>
      <c r="K130" s="170"/>
      <c r="L130" s="170"/>
      <c r="M130" s="170"/>
      <c r="N130" s="170"/>
    </row>
    <row r="131" spans="1:19" x14ac:dyDescent="0.4">
      <c r="A131"/>
    </row>
    <row r="139" spans="1:19" ht="28.8" x14ac:dyDescent="0.65">
      <c r="D139" s="174" t="s">
        <v>181</v>
      </c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</row>
    <row r="140" spans="1:19" x14ac:dyDescent="0.4">
      <c r="D140" s="175" t="s">
        <v>183</v>
      </c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zoomScale="84" zoomScaleNormal="84" workbookViewId="0">
      <selection activeCell="K10" sqref="K10:M10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110616.42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5914.4111999999996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220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221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220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221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220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221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220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ref="AC28:AC34" si="2"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221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220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221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220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221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220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221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220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221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220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221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187</v>
      </c>
      <c r="E51" s="110" t="s">
        <v>138</v>
      </c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2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2" t="s">
        <v>68</v>
      </c>
      <c r="G53" s="132" t="s">
        <v>69</v>
      </c>
      <c r="H53" s="132"/>
      <c r="I53" s="132" t="s">
        <v>70</v>
      </c>
      <c r="J53" s="132"/>
      <c r="K53" s="122" t="s">
        <v>73</v>
      </c>
      <c r="L53" s="132" t="s">
        <v>71</v>
      </c>
      <c r="M53" s="132"/>
      <c r="N53" s="132" t="s">
        <v>72</v>
      </c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23"/>
      <c r="G54" s="132"/>
      <c r="H54" s="132"/>
      <c r="I54" s="132"/>
      <c r="J54" s="132"/>
      <c r="K54" s="123"/>
      <c r="L54" s="132"/>
      <c r="M54" s="132"/>
      <c r="N54" s="132"/>
      <c r="O54" s="132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4">
        <v>0.4</v>
      </c>
      <c r="G55" s="184" t="s">
        <v>23</v>
      </c>
      <c r="H55" s="185"/>
      <c r="I55" s="91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92"/>
      <c r="K55" s="33" t="str">
        <f>IF(TVANExiste="Y","N = 20 %","")</f>
        <v>N = 20 %</v>
      </c>
      <c r="L55" s="89">
        <f>IF(TVANExiste="Y",$I55*20%,"")</f>
        <v>7374.4283200000009</v>
      </c>
      <c r="M55" s="90"/>
      <c r="N55" s="180">
        <f>SUM($I55:$J56)+SUM($L55:$M56)</f>
        <v>44246.569920000002</v>
      </c>
      <c r="O55" s="181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5"/>
      <c r="G56" s="186"/>
      <c r="H56" s="187"/>
      <c r="I56" s="93">
        <f>IF(TVARExiste="Y",(SUMIFS(MontantsArticlesHT,RefsDevisEtDMP,$G55,CodesTVA,"R")+SUMIFS(MontantsArticlesHT,RefsDevisEtDMP,$G55,CodesTVA,"A + R")+SUMIF(UniqueRefDevisEtDMPs,$G55,TaxeAmeublementR))*$F55,"")</f>
        <v>0</v>
      </c>
      <c r="J56" s="94"/>
      <c r="K56" s="69" t="str">
        <f>IF(TVARExiste="Y","R = 10 % *","")</f>
        <v>R = 10 % *</v>
      </c>
      <c r="L56" s="93">
        <f>IF(TVARExiste="Y",$I56*10%,"")</f>
        <v>0</v>
      </c>
      <c r="M56" s="94"/>
      <c r="N56" s="182"/>
      <c r="O56" s="183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26">
        <v>0.8</v>
      </c>
      <c r="G57" s="188" t="s">
        <v>24</v>
      </c>
      <c r="H57" s="189"/>
      <c r="I57" s="87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8"/>
      <c r="K57" s="23" t="str">
        <f>IF(TVANExiste="Y","N = 20 %","")</f>
        <v>N = 20 %</v>
      </c>
      <c r="L57" s="87">
        <f>IF(TVANExiste="Y",$I57*20%,"")</f>
        <v>181.7944</v>
      </c>
      <c r="M57" s="88"/>
      <c r="N57" s="176">
        <f>SUM($I57:$J58)+SUM($L57:$M58)</f>
        <v>1090.7664</v>
      </c>
      <c r="O57" s="177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27"/>
      <c r="G58" s="190"/>
      <c r="H58" s="191"/>
      <c r="I58" s="105">
        <f>IF(TVARExiste="Y",(SUMIFS(MontantsArticlesHT,RefsDevisEtDMP,$G57,CodesTVA,"R")+SUMIFS(MontantsArticlesHT,RefsDevisEtDMP,$G57,CodesTVA,"A + R")+SUMIF(UniqueRefDevisEtDMPs,$G57,TaxeAmeublementR))*$F57,"")</f>
        <v>0</v>
      </c>
      <c r="J58" s="106"/>
      <c r="K58" s="22" t="str">
        <f>IF(TVARExiste="Y","R = 10 % *","")</f>
        <v>R = 10 % *</v>
      </c>
      <c r="L58" s="105">
        <f>IF(TVARExiste="Y",$I58*10%,"")</f>
        <v>0</v>
      </c>
      <c r="M58" s="106"/>
      <c r="N58" s="178"/>
      <c r="O58" s="179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4">
        <v>0.8</v>
      </c>
      <c r="G59" s="184" t="s">
        <v>25</v>
      </c>
      <c r="H59" s="185"/>
      <c r="I59" s="91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92"/>
      <c r="K59" s="33" t="str">
        <f>IF(TVANExiste="Y","N = 20 %","")</f>
        <v>N = 20 %</v>
      </c>
      <c r="L59" s="89">
        <f>IF(TVANExiste="Y",$I59*20%,"")</f>
        <v>788.58816000000013</v>
      </c>
      <c r="M59" s="90"/>
      <c r="N59" s="180">
        <f>SUM($I59:$J60)+SUM($L59:$M60)</f>
        <v>4731.5289600000006</v>
      </c>
      <c r="O59" s="181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5"/>
      <c r="G60" s="186"/>
      <c r="H60" s="187"/>
      <c r="I60" s="93">
        <f>IF(TVARExiste="Y",(SUMIFS(MontantsArticlesHT,RefsDevisEtDMP,$G59,CodesTVA,"R")+SUMIFS(MontantsArticlesHT,RefsDevisEtDMP,$G59,CodesTVA,"A + R")+SUMIF(UniqueRefDevisEtDMPs,$G59,TaxeAmeublementR))*$F59,"")</f>
        <v>0</v>
      </c>
      <c r="J60" s="94"/>
      <c r="K60" s="69" t="str">
        <f>IF(TVARExiste="Y","R = 10 % *","")</f>
        <v>R = 10 % *</v>
      </c>
      <c r="L60" s="93">
        <f>IF(TVARExiste="Y",$I60*10%,"")</f>
        <v>0</v>
      </c>
      <c r="M60" s="94"/>
      <c r="N60" s="182"/>
      <c r="O60" s="183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26">
        <v>0.8</v>
      </c>
      <c r="G61" s="188" t="s">
        <v>119</v>
      </c>
      <c r="H61" s="189"/>
      <c r="I61" s="87">
        <f>IF(TVANExiste="Y",(SUMIFS(MontantsArticlesHT,RefsDevisEtDMP,$G61,CodesTVA,"N")+SUMIFS(MontantsArticlesHT,RefsDevisEtDMP,$G61,CodesTVA,"A + N")+SUMIF(UniqueRefDevisEtDMPs,$G61,TaxeAmeublementN))*$F61,"")</f>
        <v>0</v>
      </c>
      <c r="J61" s="88"/>
      <c r="K61" s="23" t="str">
        <f>IF(TVANExiste="Y","N = 20 %","")</f>
        <v>N = 20 %</v>
      </c>
      <c r="L61" s="87">
        <f>IF(TVANExiste="Y",$I61*20%,"")</f>
        <v>0</v>
      </c>
      <c r="M61" s="88"/>
      <c r="N61" s="176">
        <f>SUM($I61:$J62)+SUM($L61:$M62)</f>
        <v>2186.3283200000001</v>
      </c>
      <c r="O61" s="177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27"/>
      <c r="G62" s="190"/>
      <c r="H62" s="191"/>
      <c r="I62" s="105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06"/>
      <c r="K62" s="22" t="str">
        <f>IF(TVARExiste="Y","R = 10 % *","")</f>
        <v>R = 10 % *</v>
      </c>
      <c r="L62" s="105">
        <f>IF(TVARExiste="Y",$I62*10%,"")</f>
        <v>198.75712000000001</v>
      </c>
      <c r="M62" s="106"/>
      <c r="N62" s="178"/>
      <c r="O62" s="179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4">
        <v>0.2</v>
      </c>
      <c r="G63" s="184" t="s">
        <v>119</v>
      </c>
      <c r="H63" s="185"/>
      <c r="I63" s="91">
        <f>IF(TVANExiste="Y",(SUMIFS(MontantsArticlesHT,RefsDevisEtDMP,$G63,CodesTVA,"N")+SUMIFS(MontantsArticlesHT,RefsDevisEtDMP,$G63,CodesTVA,"A + N")+SUMIF(UniqueRefDevisEtDMPs,$G63,TaxeAmeublementN))*$F63,"")</f>
        <v>0</v>
      </c>
      <c r="J63" s="92"/>
      <c r="K63" s="33" t="str">
        <f>IF(TVANExiste="Y","N = 20 %","")</f>
        <v>N = 20 %</v>
      </c>
      <c r="L63" s="89">
        <f>IF(TVANExiste="Y",$I63*20%,"")</f>
        <v>0</v>
      </c>
      <c r="M63" s="90"/>
      <c r="N63" s="180">
        <f>SUM($I63:$J64)+SUM($L63:$M64)</f>
        <v>546.58208000000002</v>
      </c>
      <c r="O63" s="181"/>
      <c r="U63" s="52" t="s">
        <v>121</v>
      </c>
    </row>
    <row r="64" spans="1:30" ht="18" customHeight="1" thickBot="1" x14ac:dyDescent="0.45">
      <c r="F64" s="125"/>
      <c r="G64" s="186"/>
      <c r="H64" s="187"/>
      <c r="I64" s="93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94"/>
      <c r="K64" s="69" t="str">
        <f>IF(TVARExiste="Y","R = 10 % *","")</f>
        <v>R = 10 % *</v>
      </c>
      <c r="L64" s="93">
        <f>IF(TVARExiste="Y",$I64*10%,"")</f>
        <v>49.689280000000004</v>
      </c>
      <c r="M64" s="94"/>
      <c r="N64" s="182"/>
      <c r="O64" s="183"/>
      <c r="U64" s="52" t="s">
        <v>125</v>
      </c>
    </row>
    <row r="65" spans="1:22" ht="18" customHeight="1" thickTop="1" x14ac:dyDescent="0.4">
      <c r="U65" s="71" t="s">
        <v>126</v>
      </c>
    </row>
    <row r="66" spans="1:22" ht="18" customHeight="1" x14ac:dyDescent="0.4">
      <c r="H66" s="195" t="str">
        <f>CONCATENATE("Montant dû sur facture ",$W$6," : ")</f>
        <v xml:space="preserve">Montant dû sur facture FC-2020573 : </v>
      </c>
      <c r="I66" s="195"/>
      <c r="J66" s="195"/>
      <c r="K66" s="195"/>
      <c r="L66" s="194">
        <f>SUM(MontantsTTCAppeles)</f>
        <v>52801.775680000006</v>
      </c>
      <c r="M66" s="194"/>
      <c r="U66" s="52" t="s">
        <v>127</v>
      </c>
    </row>
    <row r="67" spans="1:22" ht="18" customHeight="1" x14ac:dyDescent="0.4">
      <c r="H67" s="195"/>
      <c r="I67" s="195"/>
      <c r="J67" s="195"/>
      <c r="K67" s="195"/>
      <c r="L67" s="194"/>
      <c r="M67" s="194"/>
      <c r="U67" s="58" t="s">
        <v>133</v>
      </c>
    </row>
    <row r="68" spans="1:22" ht="18" customHeight="1" x14ac:dyDescent="0.4">
      <c r="H68" s="133" t="str">
        <f>IF(TVANExiste="Y","** dont Total T.V.A (N) 20 % : ","")</f>
        <v xml:space="preserve">** dont Total T.V.A (N) 20 % : </v>
      </c>
      <c r="I68" s="133"/>
      <c r="J68" s="133"/>
      <c r="K68" s="133"/>
      <c r="L68" s="129">
        <f>IF(TVANExiste="Y",SUMIF(TauxTVAAppeles,"N = 20 %",MontantsTVAAppeles),"")</f>
        <v>8344.8108800000009</v>
      </c>
      <c r="M68" s="129"/>
      <c r="U68" s="52" t="s">
        <v>154</v>
      </c>
    </row>
    <row r="69" spans="1:22" ht="18" customHeight="1" x14ac:dyDescent="0.4">
      <c r="H69" s="134" t="str">
        <f>IF(TVARExiste="Y","** dont Total T.V.A Réduit (R) 10 % : ","")</f>
        <v xml:space="preserve">** dont Total T.V.A Réduit (R) 10 % : </v>
      </c>
      <c r="I69" s="134"/>
      <c r="J69" s="134"/>
      <c r="K69" s="134"/>
      <c r="L69" s="129">
        <f>IF(TVARExiste="Y",SUMIF(TauxTVAAppeles,"R = 10 % *",MontantsTVAAppeles),"")</f>
        <v>248.44640000000001</v>
      </c>
      <c r="M69" s="129"/>
      <c r="U69" s="52" t="s">
        <v>184</v>
      </c>
    </row>
    <row r="70" spans="1:22" ht="18" customHeight="1" x14ac:dyDescent="0.4">
      <c r="B70" s="20"/>
      <c r="H70" s="115" t="str">
        <f>IF(TaxeAmeublementExiste="Y","** dont Taxe d'ameublement (A) 0,18% : ","")</f>
        <v xml:space="preserve">** dont Taxe d'ameublement (A) 0,18% : </v>
      </c>
      <c r="I70" s="115"/>
      <c r="J70" s="115"/>
      <c r="K70" s="115"/>
      <c r="L70" s="128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28"/>
      <c r="U70" s="58" t="s">
        <v>185</v>
      </c>
    </row>
    <row r="71" spans="1:22" ht="18" customHeight="1" x14ac:dyDescent="0.4">
      <c r="A71" s="20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H91" s="67"/>
      <c r="I91" s="67"/>
      <c r="J91" s="67"/>
      <c r="K91" s="67"/>
      <c r="L91" s="68"/>
      <c r="M91" s="68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8"/>
    </row>
    <row r="93" spans="1:19" ht="17.399999999999999" customHeight="1" x14ac:dyDescent="0.4">
      <c r="A93"/>
      <c r="B93"/>
      <c r="C93" s="192" t="s">
        <v>75</v>
      </c>
      <c r="D93" s="192"/>
      <c r="E93" s="192"/>
      <c r="F93" s="192"/>
      <c r="G93"/>
      <c r="H93"/>
      <c r="P93" s="116" t="s">
        <v>76</v>
      </c>
      <c r="Q93" s="116"/>
      <c r="R93" s="96">
        <f>R8</f>
        <v>2</v>
      </c>
      <c r="S93" s="97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 t="s">
        <v>77</v>
      </c>
      <c r="Q94" s="193"/>
      <c r="R94" s="98" t="str">
        <f>R9</f>
        <v>FC-2020573</v>
      </c>
      <c r="S94" s="99"/>
    </row>
    <row r="95" spans="1:19" ht="17.399999999999999" customHeight="1" x14ac:dyDescent="0.4">
      <c r="A95"/>
      <c r="B95"/>
      <c r="C95" s="192"/>
      <c r="D95" s="192"/>
      <c r="E95" s="192"/>
      <c r="F95" s="192"/>
      <c r="G95"/>
      <c r="H95"/>
      <c r="P95" s="168"/>
      <c r="Q95" s="193"/>
      <c r="R95" s="98"/>
      <c r="S95" s="99"/>
    </row>
    <row r="96" spans="1:19" ht="17.399999999999999" customHeight="1" x14ac:dyDescent="0.4">
      <c r="A96"/>
      <c r="C96"/>
      <c r="D96"/>
      <c r="E96"/>
      <c r="F96"/>
      <c r="G96"/>
      <c r="H96"/>
      <c r="P96" s="168"/>
      <c r="Q96" s="193"/>
      <c r="R96" s="98"/>
      <c r="S96" s="99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154" t="str">
        <f t="shared" si="3"/>
        <v>D.201107.02</v>
      </c>
      <c r="E98" s="154"/>
      <c r="F98" s="204">
        <f t="shared" ref="F98:F104" si="4">F12</f>
        <v>44224</v>
      </c>
      <c r="G98" s="204"/>
      <c r="H98" s="58" t="str">
        <f t="shared" ref="H98:I104" si="5">H12</f>
        <v>Montant T.T.C :</v>
      </c>
      <c r="I98" s="100">
        <f t="shared" si="5"/>
        <v>110616.42</v>
      </c>
      <c r="J98" s="100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D.201107.03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154" t="str">
        <f t="shared" si="3"/>
        <v>D.201107.04</v>
      </c>
      <c r="E100" s="154"/>
      <c r="F100" s="204">
        <f t="shared" si="4"/>
        <v>44304</v>
      </c>
      <c r="G100" s="204"/>
      <c r="H100" s="58" t="str">
        <f t="shared" si="5"/>
        <v>Montant T.T.C :</v>
      </c>
      <c r="I100" s="100">
        <f t="shared" si="5"/>
        <v>0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DMP1.201107.02</v>
      </c>
      <c r="E101" s="154"/>
      <c r="F101" s="204">
        <f t="shared" si="4"/>
        <v>44224</v>
      </c>
      <c r="G101" s="204"/>
      <c r="H101" s="58" t="str">
        <f t="shared" si="5"/>
        <v>Montant T.T.C :</v>
      </c>
      <c r="I101" s="100">
        <f t="shared" si="5"/>
        <v>1363.4579999999999</v>
      </c>
      <c r="J101" s="100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DMP2.201107.02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5914.4111999999996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DMP3.201107.02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2732.91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154" t="str">
        <f t="shared" si="3"/>
        <v>DMP4.201107.02</v>
      </c>
      <c r="E104" s="154"/>
      <c r="F104" s="204">
        <f t="shared" si="4"/>
        <v>44236</v>
      </c>
      <c r="G104" s="204"/>
      <c r="H104" s="58" t="str">
        <f t="shared" si="5"/>
        <v>Montant T.T.C :</v>
      </c>
      <c r="I104" s="100">
        <f t="shared" si="5"/>
        <v>539.97020000000009</v>
      </c>
      <c r="J104" s="100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6"/>
      <c r="E105" s="66"/>
      <c r="K105"/>
      <c r="L105"/>
      <c r="M105"/>
      <c r="N105"/>
      <c r="O105"/>
    </row>
    <row r="106" spans="1:19" x14ac:dyDescent="0.4">
      <c r="A106"/>
      <c r="B106"/>
      <c r="D106" s="66"/>
      <c r="E106" s="66"/>
      <c r="H106" s="117" t="s">
        <v>80</v>
      </c>
      <c r="I106" s="117"/>
      <c r="J106" s="117" t="s">
        <v>81</v>
      </c>
      <c r="K106" s="117"/>
      <c r="L106" s="117" t="s">
        <v>84</v>
      </c>
      <c r="M106" s="117"/>
      <c r="N106" s="117" t="s">
        <v>82</v>
      </c>
      <c r="O106" s="117"/>
      <c r="P106" s="117"/>
      <c r="Q106" s="117"/>
      <c r="R106" s="95" t="s">
        <v>83</v>
      </c>
      <c r="S106" s="95"/>
    </row>
    <row r="107" spans="1:19" x14ac:dyDescent="0.4">
      <c r="A107"/>
      <c r="B107"/>
      <c r="C107"/>
      <c r="D107"/>
      <c r="E107"/>
      <c r="F10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95"/>
      <c r="S107" s="95"/>
    </row>
    <row r="108" spans="1:19" x14ac:dyDescent="0.4">
      <c r="A108"/>
      <c r="B108"/>
      <c r="C108" s="205" t="s">
        <v>78</v>
      </c>
      <c r="D108" s="206"/>
      <c r="E108" s="119">
        <v>1</v>
      </c>
      <c r="F108" s="119" t="s">
        <v>79</v>
      </c>
      <c r="G108" s="119"/>
      <c r="H108" s="103">
        <v>12000</v>
      </c>
      <c r="I108" s="103"/>
      <c r="J108" s="103">
        <v>30000</v>
      </c>
      <c r="K108" s="103"/>
      <c r="L108" s="135">
        <v>44423</v>
      </c>
      <c r="M108" s="135"/>
      <c r="N108" s="114" t="s">
        <v>85</v>
      </c>
      <c r="O108" s="114"/>
      <c r="P108" s="114"/>
      <c r="Q108" s="114"/>
      <c r="R108" s="103">
        <v>14198.57</v>
      </c>
      <c r="S108" s="103"/>
    </row>
    <row r="109" spans="1:19" x14ac:dyDescent="0.4">
      <c r="A109"/>
      <c r="B109"/>
      <c r="C109" s="207"/>
      <c r="D109" s="208"/>
      <c r="E109" s="119"/>
      <c r="F109" s="119"/>
      <c r="G109" s="119"/>
      <c r="H109" s="103"/>
      <c r="I109" s="103"/>
      <c r="J109" s="103"/>
      <c r="K109" s="103"/>
      <c r="L109" s="135"/>
      <c r="M109" s="135"/>
      <c r="N109" s="114"/>
      <c r="O109" s="114"/>
      <c r="P109" s="114"/>
      <c r="Q109" s="114"/>
      <c r="R109" s="103"/>
      <c r="S109" s="103"/>
    </row>
    <row r="110" spans="1:19" x14ac:dyDescent="0.4">
      <c r="A110"/>
      <c r="B110"/>
      <c r="C110" s="209" t="s">
        <v>78</v>
      </c>
      <c r="D110" s="210"/>
      <c r="E110" s="131">
        <v>2</v>
      </c>
      <c r="F110" s="131" t="s">
        <v>124</v>
      </c>
      <c r="G110" s="131"/>
      <c r="H110" s="104">
        <v>11000</v>
      </c>
      <c r="I110" s="104"/>
      <c r="J110" s="104">
        <v>30000</v>
      </c>
      <c r="K110" s="104"/>
      <c r="L110" s="113">
        <v>44423</v>
      </c>
      <c r="M110" s="113"/>
      <c r="N110" s="136" t="s">
        <v>85</v>
      </c>
      <c r="O110" s="136"/>
      <c r="P110" s="136"/>
      <c r="Q110" s="136"/>
      <c r="R110" s="104">
        <v>14198.57</v>
      </c>
      <c r="S110" s="104"/>
    </row>
    <row r="111" spans="1:19" x14ac:dyDescent="0.4">
      <c r="A111"/>
      <c r="B111"/>
      <c r="C111" s="211"/>
      <c r="D111" s="212"/>
      <c r="E111" s="131"/>
      <c r="F111" s="131"/>
      <c r="G111" s="131"/>
      <c r="H111" s="104"/>
      <c r="I111" s="104"/>
      <c r="J111" s="104"/>
      <c r="K111" s="104"/>
      <c r="L111" s="113"/>
      <c r="M111" s="113"/>
      <c r="N111" s="136"/>
      <c r="O111" s="136"/>
      <c r="P111" s="136"/>
      <c r="Q111" s="136"/>
      <c r="R111" s="104"/>
      <c r="S111" s="104"/>
    </row>
    <row r="112" spans="1:19" x14ac:dyDescent="0.4">
      <c r="A112"/>
      <c r="B112"/>
      <c r="C112" s="205" t="s">
        <v>78</v>
      </c>
      <c r="D112" s="206"/>
      <c r="E112" s="119">
        <v>3</v>
      </c>
      <c r="F112" s="119"/>
      <c r="G112" s="119"/>
      <c r="H112" s="103">
        <v>43000</v>
      </c>
      <c r="I112" s="103"/>
      <c r="J112" s="103"/>
      <c r="K112" s="103"/>
      <c r="L112" s="135"/>
      <c r="M112" s="135"/>
      <c r="N112" s="114"/>
      <c r="O112" s="114"/>
      <c r="P112" s="114"/>
      <c r="Q112" s="114"/>
      <c r="R112" s="103">
        <v>10000</v>
      </c>
      <c r="S112" s="103"/>
    </row>
    <row r="113" spans="1:19" x14ac:dyDescent="0.4">
      <c r="A113"/>
      <c r="B113"/>
      <c r="C113" s="207"/>
      <c r="D113" s="208"/>
      <c r="E113" s="119"/>
      <c r="F113" s="119"/>
      <c r="G113" s="119"/>
      <c r="H113" s="103"/>
      <c r="I113" s="103"/>
      <c r="J113" s="103"/>
      <c r="K113" s="103"/>
      <c r="L113" s="135"/>
      <c r="M113" s="135"/>
      <c r="N113" s="114"/>
      <c r="O113" s="114"/>
      <c r="P113" s="114"/>
      <c r="Q113" s="114"/>
      <c r="R113" s="103"/>
      <c r="S113" s="103"/>
    </row>
    <row r="114" spans="1:19" x14ac:dyDescent="0.4">
      <c r="A114"/>
      <c r="B114"/>
      <c r="C114" s="209" t="s">
        <v>78</v>
      </c>
      <c r="D114" s="210"/>
      <c r="E114" s="131">
        <v>4</v>
      </c>
      <c r="F114" s="131"/>
      <c r="G114" s="131"/>
      <c r="H114" s="104">
        <f>$L$66</f>
        <v>52801.775680000006</v>
      </c>
      <c r="I114" s="104"/>
      <c r="J114" s="104"/>
      <c r="K114" s="104"/>
      <c r="L114" s="113"/>
      <c r="M114" s="113"/>
      <c r="N114" s="136"/>
      <c r="O114" s="136"/>
      <c r="P114" s="136"/>
      <c r="Q114" s="136"/>
      <c r="R114" s="104">
        <v>12000</v>
      </c>
      <c r="S114" s="104"/>
    </row>
    <row r="115" spans="1:19" x14ac:dyDescent="0.4">
      <c r="A115"/>
      <c r="B115"/>
      <c r="C115" s="211"/>
      <c r="D115" s="212"/>
      <c r="E115" s="131"/>
      <c r="F115" s="131"/>
      <c r="G115" s="131"/>
      <c r="H115" s="104"/>
      <c r="I115" s="104"/>
      <c r="J115" s="104"/>
      <c r="K115" s="104"/>
      <c r="L115" s="113"/>
      <c r="M115" s="113"/>
      <c r="N115" s="136"/>
      <c r="O115" s="136"/>
      <c r="P115" s="136"/>
      <c r="Q115" s="136"/>
      <c r="R115" s="104"/>
      <c r="S115" s="104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18" t="s">
        <v>96</v>
      </c>
      <c r="F117" s="118"/>
      <c r="G117" s="118"/>
      <c r="H117" s="118"/>
      <c r="I117" s="118"/>
      <c r="J117" s="202">
        <f>SUM(RestantsDusSurFacturesAppeles)</f>
        <v>50397.14</v>
      </c>
      <c r="K117" s="202"/>
      <c r="L117"/>
      <c r="Q117"/>
      <c r="R117"/>
      <c r="S117"/>
    </row>
    <row r="118" spans="1:19" x14ac:dyDescent="0.4">
      <c r="A118" s="12"/>
      <c r="B118"/>
      <c r="C118"/>
      <c r="D118"/>
      <c r="E118" s="118"/>
      <c r="F118" s="118"/>
      <c r="G118" s="118"/>
      <c r="H118" s="118"/>
      <c r="I118" s="118"/>
      <c r="J118" s="202"/>
      <c r="K118" s="202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203">
        <f>$AC$48-SUM(MontantsFacturesAppeles)</f>
        <v>2365.3989199999924</v>
      </c>
      <c r="K120" s="203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30" t="s">
        <v>103</v>
      </c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/>
      <c r="Q123"/>
    </row>
    <row r="124" spans="1:19" x14ac:dyDescent="0.4">
      <c r="A124"/>
      <c r="B124"/>
      <c r="E124" s="120" t="s">
        <v>97</v>
      </c>
      <c r="F124" s="120"/>
      <c r="G124" s="120"/>
      <c r="H124" s="120"/>
      <c r="I124" s="120"/>
      <c r="J124" s="120"/>
      <c r="K124" s="120" t="s">
        <v>99</v>
      </c>
      <c r="L124" s="120"/>
      <c r="M124" s="120" t="s">
        <v>101</v>
      </c>
      <c r="N124" s="120"/>
      <c r="O124" s="120"/>
      <c r="P124"/>
      <c r="Q124"/>
    </row>
    <row r="125" spans="1:19" x14ac:dyDescent="0.4">
      <c r="A125"/>
      <c r="B125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/>
      <c r="Q125"/>
    </row>
    <row r="126" spans="1:19" x14ac:dyDescent="0.4">
      <c r="A126"/>
      <c r="B126"/>
      <c r="E126" s="121" t="s">
        <v>98</v>
      </c>
      <c r="F126" s="121"/>
      <c r="G126" s="121"/>
      <c r="H126" s="121"/>
      <c r="I126" s="121"/>
      <c r="J126" s="121"/>
      <c r="K126" s="121" t="s">
        <v>100</v>
      </c>
      <c r="L126" s="121"/>
      <c r="M126" s="121" t="s">
        <v>102</v>
      </c>
      <c r="N126" s="121"/>
      <c r="O126" s="121"/>
      <c r="P126"/>
      <c r="Q126"/>
    </row>
    <row r="127" spans="1:19" x14ac:dyDescent="0.4">
      <c r="A127"/>
      <c r="B127"/>
      <c r="C127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70" t="s">
        <v>180</v>
      </c>
      <c r="G131" s="170"/>
      <c r="H131" s="170"/>
      <c r="I131" s="170"/>
      <c r="J131" s="170"/>
      <c r="K131" s="170"/>
      <c r="L131" s="170"/>
      <c r="M131" s="170"/>
      <c r="N131" s="170"/>
    </row>
    <row r="132" spans="1:19" x14ac:dyDescent="0.4">
      <c r="A132"/>
    </row>
    <row r="140" spans="1:19" ht="28.8" x14ac:dyDescent="0.65">
      <c r="D140" s="174" t="s">
        <v>181</v>
      </c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</row>
    <row r="141" spans="1:19" x14ac:dyDescent="0.4">
      <c r="D141" s="175" t="s">
        <v>183</v>
      </c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6"/>
  <sheetViews>
    <sheetView topLeftCell="A19" zoomScale="84" zoomScaleNormal="84" workbookViewId="0">
      <selection activeCell="F34" sqref="F34:H35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189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190</v>
      </c>
      <c r="L2" s="165"/>
      <c r="M2" s="165"/>
      <c r="R2" s="156"/>
      <c r="S2" s="156"/>
    </row>
    <row r="3" spans="1:33" ht="18" customHeight="1" x14ac:dyDescent="0.4">
      <c r="H3" s="166" t="s">
        <v>191</v>
      </c>
      <c r="I3" s="166"/>
      <c r="J3" s="167"/>
      <c r="K3" s="162" t="s">
        <v>192</v>
      </c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 t="s">
        <v>193</v>
      </c>
      <c r="L5" s="169"/>
      <c r="M5" s="169"/>
      <c r="O5" s="58" t="s">
        <v>132</v>
      </c>
      <c r="P5" s="116" t="s">
        <v>10</v>
      </c>
      <c r="Q5" s="116"/>
      <c r="R5" s="96">
        <v>44267</v>
      </c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218" t="s">
        <v>194</v>
      </c>
      <c r="L6" s="165"/>
      <c r="M6" s="165"/>
      <c r="P6" s="168" t="s">
        <v>11</v>
      </c>
      <c r="Q6" s="168"/>
      <c r="R6" s="98">
        <v>1</v>
      </c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 t="s">
        <v>195</v>
      </c>
      <c r="S8" s="138"/>
    </row>
    <row r="9" spans="1:33" ht="18" customHeight="1" thickBot="1" x14ac:dyDescent="0.45">
      <c r="P9" s="155" t="s">
        <v>104</v>
      </c>
      <c r="Q9" s="155"/>
      <c r="R9" s="139" t="str">
        <f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>
        <v>44267</v>
      </c>
      <c r="S10" s="144"/>
      <c r="U10" s="20"/>
      <c r="V10" s="20"/>
      <c r="W10" s="74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159</v>
      </c>
    </row>
    <row r="12" spans="1:33" ht="18" customHeight="1" x14ac:dyDescent="0.4">
      <c r="C12" s="58" t="s">
        <v>123</v>
      </c>
      <c r="D12" s="154" t="s">
        <v>196</v>
      </c>
      <c r="E12" s="154"/>
      <c r="F12" s="102">
        <v>44217</v>
      </c>
      <c r="G12" s="102"/>
      <c r="H12" s="75" t="s">
        <v>136</v>
      </c>
      <c r="I12" s="222">
        <v>22631.64</v>
      </c>
      <c r="J12" s="222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Y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29.7</v>
      </c>
      <c r="AG16" s="58" t="s">
        <v>163</v>
      </c>
    </row>
    <row r="17" spans="1:33" ht="18" customHeight="1" x14ac:dyDescent="0.4">
      <c r="A17" s="20"/>
      <c r="C17" s="16" t="s">
        <v>196</v>
      </c>
      <c r="D17" s="37" t="s">
        <v>26</v>
      </c>
      <c r="E17" s="107" t="s">
        <v>197</v>
      </c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>
        <v>3960</v>
      </c>
      <c r="S17" s="25" t="s">
        <v>63</v>
      </c>
      <c r="AG17" s="58" t="s">
        <v>164</v>
      </c>
    </row>
    <row r="18" spans="1:33" ht="18" customHeight="1" thickBot="1" x14ac:dyDescent="0.45">
      <c r="B18" s="3"/>
      <c r="C18" s="18" t="s">
        <v>196</v>
      </c>
      <c r="D18" s="38" t="s">
        <v>27</v>
      </c>
      <c r="E18" s="110" t="s">
        <v>198</v>
      </c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>
        <v>220</v>
      </c>
      <c r="S18" s="26" t="s">
        <v>63</v>
      </c>
      <c r="AG18" s="58" t="s">
        <v>165</v>
      </c>
    </row>
    <row r="19" spans="1:33" ht="18" customHeight="1" thickBot="1" x14ac:dyDescent="0.45">
      <c r="A19"/>
      <c r="B19"/>
      <c r="C19" s="16" t="s">
        <v>196</v>
      </c>
      <c r="D19" s="37" t="s">
        <v>28</v>
      </c>
      <c r="E19" s="107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9"/>
      <c r="R19" s="17">
        <v>370</v>
      </c>
      <c r="S19" s="25" t="s">
        <v>63</v>
      </c>
      <c r="Z19" s="157" t="s">
        <v>74</v>
      </c>
      <c r="AA19" s="158"/>
      <c r="AG19" s="58" t="s">
        <v>166</v>
      </c>
    </row>
    <row r="20" spans="1:33" ht="18" customHeight="1" thickBot="1" x14ac:dyDescent="0.45">
      <c r="A20"/>
      <c r="B20"/>
      <c r="C20" s="18" t="s">
        <v>196</v>
      </c>
      <c r="D20" s="38" t="s">
        <v>17</v>
      </c>
      <c r="E20" s="110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2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Bot="1" x14ac:dyDescent="0.45">
      <c r="A21"/>
      <c r="B21"/>
      <c r="C21" s="16" t="s">
        <v>196</v>
      </c>
      <c r="D21" s="37" t="s">
        <v>29</v>
      </c>
      <c r="E21" s="107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9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x14ac:dyDescent="0.4">
      <c r="A22"/>
      <c r="B22"/>
      <c r="C22" s="18" t="s">
        <v>196</v>
      </c>
      <c r="D22" s="38" t="s">
        <v>16</v>
      </c>
      <c r="E22" s="110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2"/>
      <c r="R22" s="19">
        <v>530</v>
      </c>
      <c r="S22" s="26" t="s">
        <v>63</v>
      </c>
      <c r="Z22" s="36"/>
      <c r="AA22" s="36"/>
      <c r="AG22" s="58" t="s">
        <v>169</v>
      </c>
    </row>
    <row r="23" spans="1:33" ht="18" customHeight="1" x14ac:dyDescent="0.4">
      <c r="A23"/>
      <c r="B23"/>
      <c r="C23" s="16" t="s">
        <v>196</v>
      </c>
      <c r="D23" s="37" t="s">
        <v>18</v>
      </c>
      <c r="E23" s="107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9400</v>
      </c>
      <c r="S23" s="25" t="s">
        <v>63</v>
      </c>
      <c r="AG23" s="58" t="s">
        <v>170</v>
      </c>
    </row>
    <row r="24" spans="1:33" ht="18" customHeight="1" x14ac:dyDescent="0.4">
      <c r="A24"/>
      <c r="B24"/>
      <c r="C24" s="18" t="s">
        <v>196</v>
      </c>
      <c r="D24" s="38" t="s">
        <v>30</v>
      </c>
      <c r="E24" s="110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650</v>
      </c>
      <c r="S24" s="26" t="s">
        <v>63</v>
      </c>
      <c r="AG24" s="58" t="s">
        <v>171</v>
      </c>
    </row>
    <row r="25" spans="1:33" ht="18" customHeight="1" x14ac:dyDescent="0.4">
      <c r="A25"/>
      <c r="B25"/>
      <c r="C25" s="16" t="s">
        <v>196</v>
      </c>
      <c r="D25" s="37" t="s">
        <v>36</v>
      </c>
      <c r="E25" s="107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2240</v>
      </c>
      <c r="S25" s="25" t="s">
        <v>64</v>
      </c>
      <c r="AG25" s="58" t="s">
        <v>172</v>
      </c>
    </row>
    <row r="26" spans="1:33" ht="18" customHeight="1" x14ac:dyDescent="0.4">
      <c r="A26"/>
      <c r="B26"/>
      <c r="C26" s="18" t="s">
        <v>196</v>
      </c>
      <c r="D26" s="38" t="s">
        <v>199</v>
      </c>
      <c r="E26" s="110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90</v>
      </c>
      <c r="S26" s="26" t="s">
        <v>64</v>
      </c>
      <c r="AG26" s="58" t="s">
        <v>173</v>
      </c>
    </row>
    <row r="27" spans="1:33" ht="18" customHeight="1" thickBot="1" x14ac:dyDescent="0.45">
      <c r="A27"/>
      <c r="B27"/>
      <c r="AG27" s="58" t="s">
        <v>174</v>
      </c>
    </row>
    <row r="28" spans="1:33" ht="18" customHeight="1" thickTop="1" thickBot="1" x14ac:dyDescent="0.45">
      <c r="A28"/>
      <c r="F28" s="122" t="s">
        <v>68</v>
      </c>
      <c r="G28" s="132" t="s">
        <v>69</v>
      </c>
      <c r="H28" s="132"/>
      <c r="I28" s="132" t="s">
        <v>70</v>
      </c>
      <c r="J28" s="132"/>
      <c r="K28" s="122" t="s">
        <v>73</v>
      </c>
      <c r="L28" s="132" t="s">
        <v>71</v>
      </c>
      <c r="M28" s="132"/>
      <c r="N28" s="132" t="s">
        <v>72</v>
      </c>
      <c r="O28" s="132"/>
      <c r="AG28" s="58" t="s">
        <v>175</v>
      </c>
    </row>
    <row r="29" spans="1:33" ht="18" customHeight="1" thickTop="1" thickBot="1" x14ac:dyDescent="0.45">
      <c r="F29" s="123"/>
      <c r="G29" s="132"/>
      <c r="H29" s="132"/>
      <c r="I29" s="132"/>
      <c r="J29" s="132"/>
      <c r="K29" s="123"/>
      <c r="L29" s="132"/>
      <c r="M29" s="132"/>
      <c r="N29" s="132"/>
      <c r="O29" s="132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Top="1" thickBot="1" x14ac:dyDescent="0.45">
      <c r="F30" s="124">
        <v>0.4</v>
      </c>
      <c r="G30" s="184" t="s">
        <v>196</v>
      </c>
      <c r="H30" s="185"/>
      <c r="I30" s="91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92"/>
      <c r="K30" s="33" t="str">
        <f>IF(TVANExiste="Y","N = 20 %","")</f>
        <v>N = 20 %</v>
      </c>
      <c r="L30" s="89">
        <f>IF(TVANExiste="Y",$I30*20%,"")</f>
        <v>1508.7760000000003</v>
      </c>
      <c r="M30" s="90"/>
      <c r="N30" s="180">
        <f>SUM($I30:$J31)+SUM($L30:$M31)</f>
        <v>9052.6560000000009</v>
      </c>
      <c r="O30" s="181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F31" s="125"/>
      <c r="G31" s="186"/>
      <c r="H31" s="187"/>
      <c r="I31" s="93" t="str">
        <f>IF(TVARExiste="Y",(SUMIFS(MontantsArticlesHT,RefsDevisEtDMP,$G30,CodesTVA,"R")+SUMIFS(MontantsArticlesHT,RefsDevisEtDMP,$G30,CodesTVA,"A + R")+SUMIF(UniqueRefDevisEtDMPs,$G30,TaxeAmeublementR))*$F30,"")</f>
        <v/>
      </c>
      <c r="J31" s="94"/>
      <c r="K31" s="76" t="str">
        <f>IF(TVARExiste="Y","R = 10 % *","")</f>
        <v/>
      </c>
      <c r="L31" s="93" t="str">
        <f>IF(TVARExiste="Y",$I31*10%,"")</f>
        <v/>
      </c>
      <c r="M31" s="94"/>
      <c r="N31" s="182"/>
      <c r="O31" s="183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Top="1" thickBot="1" x14ac:dyDescent="0.45">
      <c r="F32" s="126">
        <v>0.1</v>
      </c>
      <c r="G32" s="188" t="s">
        <v>196</v>
      </c>
      <c r="H32" s="189"/>
      <c r="I32" s="87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88"/>
      <c r="K32" s="23" t="str">
        <f>IF(TVANExiste="Y","N = 20 %","")</f>
        <v>N = 20 %</v>
      </c>
      <c r="L32" s="87">
        <f>IF(TVANExiste="Y",$I32*20%,"")</f>
        <v>377.19400000000007</v>
      </c>
      <c r="M32" s="88"/>
      <c r="N32" s="176">
        <f>SUM($I32:$J33)+SUM($L32:$M33)</f>
        <v>2263.1640000000002</v>
      </c>
      <c r="O32" s="177"/>
      <c r="Y32" s="20"/>
      <c r="Z32" s="50" t="str" cm="1">
        <f t="array" ref="Z32">DevisEtDMPs</f>
        <v>D-210102-5</v>
      </c>
      <c r="AA32" s="29">
        <f t="shared" ref="AA32" si="0">(SUMIFS(MontantsArticlesHT,RefsDevisEtDMP,$Z32,CodesTVA,"A + N"))*0.18%</f>
        <v>29.7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179</v>
      </c>
    </row>
    <row r="33" spans="1:36" ht="18" customHeight="1" thickBot="1" x14ac:dyDescent="0.45">
      <c r="F33" s="127"/>
      <c r="G33" s="190"/>
      <c r="H33" s="191"/>
      <c r="I33" s="105" t="str">
        <f>IF(TVARExiste="Y",(SUMIFS(MontantsArticlesHT,RefsDevisEtDMP,$G32,CodesTVA,"R")+SUMIFS(MontantsArticlesHT,RefsDevisEtDMP,$G32,CodesTVA,"A + R")+SUMIF(UniqueRefDevisEtDMPs,$G32,TaxeAmeublementR))*$F32,"")</f>
        <v/>
      </c>
      <c r="J33" s="106"/>
      <c r="K33" s="22" t="str">
        <f>IF(TVARExiste="Y","R = 10 % *","")</f>
        <v/>
      </c>
      <c r="L33" s="105" t="str">
        <f>IF(TVARExiste="Y",$I33*10%,"")</f>
        <v/>
      </c>
      <c r="M33" s="106"/>
      <c r="N33" s="178"/>
      <c r="O33" s="179"/>
      <c r="Y33" s="20"/>
      <c r="Z33" s="50"/>
      <c r="AA33" s="29"/>
      <c r="AB33" s="24"/>
      <c r="AC33" s="72"/>
    </row>
    <row r="34" spans="1:36" ht="18" customHeight="1" thickTop="1" thickBot="1" x14ac:dyDescent="0.45">
      <c r="F34" s="124"/>
      <c r="G34" s="184"/>
      <c r="H34" s="185"/>
      <c r="I34" s="91">
        <f>IF(TVANExiste="Y",(SUMIFS(MontantsArticlesHT,RefsDevisEtDMP,$G34,CodesTVA,"N")+SUMIFS(MontantsArticlesHT,RefsDevisEtDMP,$G34,CodesTVA,"A + N")+SUMIF(UniqueRefDevisEtDMPs,$G34,TaxeAmeublementN))*$F34,"")</f>
        <v>0</v>
      </c>
      <c r="J34" s="92"/>
      <c r="K34" s="33" t="str">
        <f>IF(TVANExiste="Y","N = 20 %","")</f>
        <v>N = 20 %</v>
      </c>
      <c r="L34" s="89">
        <f>IF(TVANExiste="Y",$I34*20%,"")</f>
        <v>0</v>
      </c>
      <c r="M34" s="90"/>
      <c r="N34" s="180">
        <f>SUM($I34:$J35)+SUM($L34:$M35)</f>
        <v>0</v>
      </c>
      <c r="O34" s="181"/>
      <c r="Z34" s="50"/>
      <c r="AA34" s="29"/>
      <c r="AB34" s="24"/>
      <c r="AC34" s="73"/>
    </row>
    <row r="35" spans="1:36" ht="18" customHeight="1" thickBot="1" x14ac:dyDescent="0.45">
      <c r="F35" s="125"/>
      <c r="G35" s="186"/>
      <c r="H35" s="187"/>
      <c r="I35" s="93" t="str">
        <f>IF(TVARExiste="Y",(SUMIFS(MontantsArticlesHT,RefsDevisEtDMP,$G34,CodesTVA,"R")+SUMIFS(MontantsArticlesHT,RefsDevisEtDMP,$G34,CodesTVA,"A + R")+SUMIF(UniqueRefDevisEtDMPs,$G34,TaxeAmeublementR))*$F34,"")</f>
        <v/>
      </c>
      <c r="J35" s="94"/>
      <c r="K35" s="83" t="str">
        <f>IF(TVARExiste="Y","R = 10 % *","")</f>
        <v/>
      </c>
      <c r="L35" s="93" t="str">
        <f>IF(TVARExiste="Y",$I35*10%,"")</f>
        <v/>
      </c>
      <c r="M35" s="94"/>
      <c r="N35" s="182"/>
      <c r="O35" s="183"/>
      <c r="Z35" s="50"/>
      <c r="AA35" s="29"/>
      <c r="AB35" s="24"/>
      <c r="AC35" s="72"/>
    </row>
    <row r="36" spans="1:36" ht="18" customHeight="1" thickTop="1" thickBot="1" x14ac:dyDescent="0.45">
      <c r="Z36" s="50"/>
      <c r="AA36" s="29"/>
      <c r="AB36" s="24"/>
      <c r="AC36" s="73"/>
    </row>
    <row r="37" spans="1:36" ht="18" customHeight="1" thickBot="1" x14ac:dyDescent="0.45">
      <c r="H37" s="195" t="str">
        <f>CONCATENATE("Montant dû sur facture ",$W$10," : ")</f>
        <v xml:space="preserve">Montant dû sur facture FC-2020573 : </v>
      </c>
      <c r="I37" s="195"/>
      <c r="J37" s="195"/>
      <c r="K37" s="195"/>
      <c r="L37" s="194">
        <f>SUM(MontantsTTCAppeles)</f>
        <v>11315.820000000002</v>
      </c>
      <c r="M37" s="194"/>
      <c r="Z37" s="50"/>
      <c r="AA37" s="29"/>
      <c r="AB37" s="24"/>
      <c r="AC37" s="72"/>
    </row>
    <row r="38" spans="1:36" ht="18" customHeight="1" thickBot="1" x14ac:dyDescent="0.45">
      <c r="H38" s="195"/>
      <c r="I38" s="195"/>
      <c r="J38" s="195"/>
      <c r="K38" s="195"/>
      <c r="L38" s="194"/>
      <c r="M38" s="194"/>
      <c r="Z38" s="50"/>
      <c r="AA38" s="29"/>
      <c r="AB38" s="24"/>
      <c r="AC38" s="73"/>
    </row>
    <row r="39" spans="1:36" ht="18" customHeight="1" thickBot="1" x14ac:dyDescent="0.45">
      <c r="H39" s="133" t="str">
        <f>IF(TVANExiste="Y","** dont Total T.V.A (N) 20 % : ","")</f>
        <v xml:space="preserve">** dont Total T.V.A (N) 20 % : </v>
      </c>
      <c r="I39" s="133"/>
      <c r="J39" s="133"/>
      <c r="K39" s="133"/>
      <c r="L39" s="129">
        <f>IF(TVANExiste="Y",SUMIF(TauxTVAAppeles,"N = 20 %",MontantsTVAAppeles),"")</f>
        <v>1885.9700000000003</v>
      </c>
      <c r="M39" s="129"/>
      <c r="Z39" s="50"/>
      <c r="AA39" s="29"/>
      <c r="AB39" s="24"/>
      <c r="AC39" s="72"/>
    </row>
    <row r="40" spans="1:36" ht="18" customHeight="1" thickBot="1" x14ac:dyDescent="0.45">
      <c r="H40" s="134" t="str">
        <f>IF(TVARExiste="Y","** dont Total T.V.A Réduit (R) 10 % : ","")</f>
        <v/>
      </c>
      <c r="I40" s="134"/>
      <c r="J40" s="134"/>
      <c r="K40" s="134"/>
      <c r="L40" s="129" t="str">
        <f>IF(TVARExiste="Y",SUMIF(TauxTVAAppeles,"R = 10 % *",MontantsTVAAppeles),"")</f>
        <v/>
      </c>
      <c r="M40" s="129"/>
      <c r="Z40" s="50"/>
      <c r="AA40" s="29"/>
      <c r="AB40" s="24"/>
      <c r="AC40" s="73"/>
      <c r="AJ40" s="11"/>
    </row>
    <row r="41" spans="1:36" ht="18" customHeight="1" thickBot="1" x14ac:dyDescent="0.45">
      <c r="H41" s="115" t="str">
        <f>IF(TaxeAmeublementExiste="Y","** dont Taxe d'ameublement (A) 0,18% : ","")</f>
        <v xml:space="preserve">** dont Taxe d'ameublement (A) 0,18% : </v>
      </c>
      <c r="I41" s="115"/>
      <c r="J41" s="115"/>
      <c r="K41" s="115"/>
      <c r="L41" s="128">
        <f>IF(TaxeAmeublementExiste="Y",$F$30*(SUMIF(UniqueRefDevisEtDMPs,$G$30,TaxeAmeublementN)+SUMIF(UniqueRefDevisEtDMPs,$G$30,TaxeAmeublementR))+$F$32*(SUMIF(UniqueRefDevisEtDMPs,$G$32,TaxeAmeublementN)+SUMIF(UniqueRefDevisEtDMPs,$G$32,TaxeAmeublementR))+$F$34*(SUMIF(UniqueRefDevisEtDMPs,$G$34,TaxeAmeublementN)+SUMIF(UniqueRefDevisEtDMPs,$G$34,TaxeAmeublementR)),"")</f>
        <v>14.850000000000001</v>
      </c>
      <c r="M41" s="128"/>
      <c r="Z41" s="50"/>
      <c r="AA41" s="29"/>
      <c r="AB41" s="24"/>
      <c r="AC41" s="72"/>
      <c r="AJ41" s="11"/>
    </row>
    <row r="42" spans="1:36" ht="18" customHeight="1" thickBot="1" x14ac:dyDescent="0.45">
      <c r="B42" s="20"/>
      <c r="H42" s="78"/>
      <c r="I42" s="78"/>
      <c r="J42" s="78"/>
      <c r="K42" s="78"/>
      <c r="L42" s="77"/>
      <c r="M42" s="77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20"/>
      <c r="B43"/>
      <c r="H43" s="78"/>
      <c r="I43" s="78"/>
      <c r="J43" s="78"/>
      <c r="K43" s="78"/>
      <c r="L43" s="77"/>
      <c r="M43" s="77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8"/>
      <c r="I44" s="78"/>
      <c r="J44" s="78"/>
      <c r="K44" s="78"/>
      <c r="L44" s="77"/>
      <c r="M44" s="77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8"/>
      <c r="I45" s="78"/>
      <c r="J45" s="78"/>
      <c r="K45" s="78"/>
      <c r="L45" s="77"/>
      <c r="M45" s="77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8"/>
      <c r="I46" s="78"/>
      <c r="J46" s="78"/>
      <c r="K46" s="78"/>
      <c r="L46" s="77"/>
      <c r="M46" s="77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8"/>
      <c r="I47" s="78"/>
      <c r="J47" s="78"/>
      <c r="K47" s="78"/>
      <c r="L47" s="77"/>
      <c r="M47" s="77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8"/>
      <c r="I48" s="78"/>
      <c r="J48" s="78"/>
      <c r="K48" s="78"/>
      <c r="L48" s="77"/>
      <c r="M48" s="77"/>
    </row>
    <row r="49" spans="1:36" ht="18" customHeight="1" x14ac:dyDescent="0.4">
      <c r="A49"/>
      <c r="B49"/>
      <c r="H49" s="78"/>
      <c r="I49" s="78"/>
      <c r="J49" s="78"/>
      <c r="K49" s="78"/>
      <c r="L49" s="77"/>
      <c r="M49" s="77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8"/>
      <c r="I50" s="78"/>
      <c r="J50" s="78"/>
      <c r="K50" s="78"/>
      <c r="L50" s="77"/>
      <c r="M50" s="77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8"/>
      <c r="I51" s="78"/>
      <c r="J51" s="78"/>
      <c r="K51" s="78"/>
      <c r="L51" s="77"/>
      <c r="M51" s="77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8"/>
      <c r="I52" s="78"/>
      <c r="J52" s="78"/>
      <c r="K52" s="78"/>
      <c r="L52" s="77"/>
      <c r="M52" s="77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8"/>
      <c r="I53" s="78"/>
      <c r="J53" s="78"/>
      <c r="K53" s="78"/>
      <c r="L53" s="77"/>
      <c r="M53" s="77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8"/>
      <c r="I54" s="78"/>
      <c r="J54" s="78"/>
      <c r="K54" s="78"/>
      <c r="L54" s="77"/>
      <c r="M54" s="77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8"/>
      <c r="I55" s="78"/>
      <c r="J55" s="78"/>
      <c r="K55" s="78"/>
      <c r="L55" s="77"/>
      <c r="M55" s="77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8"/>
      <c r="I56" s="78"/>
      <c r="J56" s="78"/>
      <c r="K56" s="78"/>
      <c r="L56" s="77"/>
      <c r="M56" s="77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8"/>
      <c r="I57" s="78"/>
      <c r="J57" s="78"/>
      <c r="K57" s="78"/>
      <c r="L57" s="77"/>
      <c r="M57" s="7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8"/>
      <c r="I58" s="78"/>
      <c r="J58" s="78"/>
      <c r="K58" s="78"/>
      <c r="L58" s="77"/>
      <c r="M58" s="77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8"/>
      <c r="I59" s="78"/>
      <c r="J59" s="78"/>
      <c r="K59" s="78"/>
      <c r="L59" s="77"/>
      <c r="M59" s="77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8"/>
      <c r="I60" s="78"/>
      <c r="J60" s="78"/>
      <c r="K60" s="78"/>
      <c r="L60" s="77"/>
      <c r="M60" s="77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58"/>
      <c r="E61" s="58"/>
      <c r="F61" s="58"/>
      <c r="G61" s="58"/>
      <c r="H61" s="78"/>
      <c r="I61" s="78"/>
      <c r="J61" s="78"/>
      <c r="K61" s="78"/>
      <c r="L61" s="77"/>
      <c r="M61" s="77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58"/>
      <c r="D62" s="58"/>
      <c r="E62" s="58"/>
      <c r="F62" s="58"/>
      <c r="G62" s="58"/>
      <c r="H62" s="78"/>
      <c r="I62" s="78"/>
      <c r="J62" s="78"/>
      <c r="K62" s="78"/>
      <c r="L62" s="77"/>
      <c r="M62" s="77"/>
      <c r="N62" s="58"/>
      <c r="O62" s="58"/>
      <c r="P62" s="58"/>
      <c r="Q62" s="58"/>
      <c r="R62" s="58"/>
      <c r="S62" s="58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41" t="str">
        <f>IF(AA20="Y","* Sous réserve d'égibilité et réception par la S.A.S Technipose Solomas France du Cerfa n° 13948*05 dument completé par le client.","")</f>
        <v/>
      </c>
      <c r="H63" s="28"/>
      <c r="M63" s="77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92" t="s">
        <v>75</v>
      </c>
      <c r="D64" s="192"/>
      <c r="E64" s="192"/>
      <c r="F64" s="192"/>
      <c r="G64"/>
      <c r="H64"/>
      <c r="P64" s="116" t="s">
        <v>76</v>
      </c>
      <c r="Q64" s="116"/>
      <c r="R64" s="96" t="str">
        <f>R8</f>
        <v>Solde</v>
      </c>
      <c r="S64" s="97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192"/>
      <c r="D65" s="192"/>
      <c r="E65" s="192"/>
      <c r="F65" s="192"/>
      <c r="G65"/>
      <c r="H65"/>
      <c r="P65" s="168" t="s">
        <v>77</v>
      </c>
      <c r="Q65" s="193"/>
      <c r="R65" s="98" t="str">
        <f>R9</f>
        <v>FC-2020573</v>
      </c>
      <c r="S65" s="99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192"/>
      <c r="D66" s="192"/>
      <c r="E66" s="192"/>
      <c r="F66" s="192"/>
      <c r="G66"/>
      <c r="H66"/>
      <c r="P66" s="168"/>
      <c r="Q66" s="193"/>
      <c r="R66" s="98"/>
      <c r="S66" s="99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P67" s="168"/>
      <c r="Q67" s="193"/>
      <c r="R67" s="98"/>
      <c r="S67" s="99"/>
      <c r="U67" s="52" t="s">
        <v>125</v>
      </c>
    </row>
    <row r="68" spans="1:35" ht="18" customHeight="1" x14ac:dyDescent="0.4">
      <c r="A68"/>
      <c r="C68"/>
      <c r="D68"/>
      <c r="E68"/>
      <c r="F68"/>
      <c r="G68"/>
      <c r="H68"/>
      <c r="I68"/>
      <c r="J68"/>
      <c r="U68" s="71" t="s">
        <v>126</v>
      </c>
    </row>
    <row r="69" spans="1:35" ht="18" customHeight="1" x14ac:dyDescent="0.4">
      <c r="C69" s="58" t="str">
        <f>C12</f>
        <v>Selon devis</v>
      </c>
      <c r="D69" s="154" t="str">
        <f>D12</f>
        <v>D-210102-5</v>
      </c>
      <c r="E69" s="154"/>
      <c r="F69" s="204">
        <f>F12</f>
        <v>44217</v>
      </c>
      <c r="G69" s="204"/>
      <c r="H69" s="58" t="str">
        <f>H12</f>
        <v>Montant T.T.C :</v>
      </c>
      <c r="I69" s="100">
        <f>I12</f>
        <v>22631.64</v>
      </c>
      <c r="J69" s="100"/>
      <c r="K69"/>
      <c r="U69" s="52" t="s">
        <v>127</v>
      </c>
    </row>
    <row r="70" spans="1:35" ht="18" customHeight="1" x14ac:dyDescent="0.4">
      <c r="A70"/>
      <c r="B70"/>
      <c r="D70" s="75"/>
      <c r="E70" s="75"/>
      <c r="K70"/>
      <c r="L70"/>
      <c r="M70"/>
      <c r="N70"/>
      <c r="O70"/>
      <c r="U70" s="52" t="s">
        <v>133</v>
      </c>
    </row>
    <row r="71" spans="1:35" ht="18" customHeight="1" x14ac:dyDescent="0.4">
      <c r="A71"/>
      <c r="B71"/>
      <c r="D71" s="75"/>
      <c r="E71" s="75"/>
      <c r="H71" s="117" t="s">
        <v>80</v>
      </c>
      <c r="I71" s="117"/>
      <c r="J71" s="117" t="s">
        <v>81</v>
      </c>
      <c r="K71" s="117"/>
      <c r="L71" s="117" t="s">
        <v>84</v>
      </c>
      <c r="M71" s="117"/>
      <c r="N71" s="117" t="s">
        <v>82</v>
      </c>
      <c r="O71" s="117"/>
      <c r="P71" s="117"/>
      <c r="Q71" s="117"/>
      <c r="R71" s="95" t="s">
        <v>83</v>
      </c>
      <c r="S71" s="95"/>
      <c r="U71" s="52" t="s">
        <v>154</v>
      </c>
    </row>
    <row r="72" spans="1:35" ht="18" customHeight="1" x14ac:dyDescent="0.4">
      <c r="A72"/>
      <c r="B72"/>
      <c r="C72"/>
      <c r="D72"/>
      <c r="E72"/>
      <c r="F72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95"/>
      <c r="S72" s="95"/>
      <c r="U72" s="52" t="s">
        <v>184</v>
      </c>
    </row>
    <row r="73" spans="1:35" ht="18" customHeight="1" x14ac:dyDescent="0.4">
      <c r="A73"/>
      <c r="B73"/>
      <c r="C73" s="205" t="s">
        <v>78</v>
      </c>
      <c r="D73" s="206"/>
      <c r="E73" s="119">
        <v>1</v>
      </c>
      <c r="F73" s="119" t="s">
        <v>200</v>
      </c>
      <c r="G73" s="119"/>
      <c r="H73" s="103">
        <v>9052.66</v>
      </c>
      <c r="I73" s="103"/>
      <c r="J73" s="103">
        <v>9052.66</v>
      </c>
      <c r="K73" s="103"/>
      <c r="L73" s="135">
        <v>44222</v>
      </c>
      <c r="M73" s="135"/>
      <c r="N73" s="114" t="s">
        <v>204</v>
      </c>
      <c r="O73" s="114"/>
      <c r="P73" s="114"/>
      <c r="Q73" s="114"/>
      <c r="R73" s="103">
        <v>0</v>
      </c>
      <c r="S73" s="103"/>
      <c r="U73" s="52" t="s">
        <v>185</v>
      </c>
    </row>
    <row r="74" spans="1:35" ht="18" customHeight="1" x14ac:dyDescent="0.4">
      <c r="A74"/>
      <c r="B74"/>
      <c r="C74" s="207"/>
      <c r="D74" s="208"/>
      <c r="E74" s="119"/>
      <c r="F74" s="119"/>
      <c r="G74" s="119"/>
      <c r="H74" s="103"/>
      <c r="I74" s="103"/>
      <c r="J74" s="103"/>
      <c r="K74" s="103"/>
      <c r="L74" s="135"/>
      <c r="M74" s="135"/>
      <c r="N74" s="114"/>
      <c r="O74" s="114"/>
      <c r="P74" s="114"/>
      <c r="Q74" s="114"/>
      <c r="R74" s="103"/>
      <c r="S74" s="103"/>
      <c r="U74" s="52" t="s">
        <v>205</v>
      </c>
    </row>
    <row r="75" spans="1:35" ht="18" customHeight="1" x14ac:dyDescent="0.4">
      <c r="A75"/>
      <c r="B75"/>
      <c r="C75" s="209" t="s">
        <v>78</v>
      </c>
      <c r="D75" s="210"/>
      <c r="E75" s="131">
        <v>2</v>
      </c>
      <c r="F75" s="131" t="s">
        <v>201</v>
      </c>
      <c r="G75" s="131"/>
      <c r="H75" s="104">
        <v>9052.66</v>
      </c>
      <c r="I75" s="104"/>
      <c r="J75" s="104">
        <v>8042.84</v>
      </c>
      <c r="K75" s="104"/>
      <c r="L75" s="113">
        <v>44258</v>
      </c>
      <c r="M75" s="113"/>
      <c r="N75" s="136" t="s">
        <v>204</v>
      </c>
      <c r="O75" s="136"/>
      <c r="P75" s="136"/>
      <c r="Q75" s="136"/>
      <c r="R75" s="104">
        <v>1009.82</v>
      </c>
      <c r="S75" s="104"/>
    </row>
    <row r="76" spans="1:35" ht="18" customHeight="1" x14ac:dyDescent="0.4">
      <c r="A76"/>
      <c r="B76"/>
      <c r="C76" s="211"/>
      <c r="D76" s="212"/>
      <c r="E76" s="131"/>
      <c r="F76" s="131"/>
      <c r="G76" s="131"/>
      <c r="H76" s="104"/>
      <c r="I76" s="104"/>
      <c r="J76" s="104"/>
      <c r="K76" s="104"/>
      <c r="L76" s="113"/>
      <c r="M76" s="113"/>
      <c r="N76" s="136"/>
      <c r="O76" s="136"/>
      <c r="P76" s="136"/>
      <c r="Q76" s="136"/>
      <c r="R76" s="104"/>
      <c r="S76" s="104"/>
    </row>
    <row r="77" spans="1:35" ht="18" customHeight="1" x14ac:dyDescent="0.4">
      <c r="A77"/>
      <c r="B77"/>
      <c r="C77" s="205" t="s">
        <v>78</v>
      </c>
      <c r="D77" s="206"/>
      <c r="E77" s="119">
        <v>3</v>
      </c>
      <c r="F77" s="119" t="s">
        <v>202</v>
      </c>
      <c r="G77" s="119"/>
      <c r="H77" s="103">
        <v>2158.8000000000002</v>
      </c>
      <c r="I77" s="103"/>
      <c r="J77" s="103">
        <v>2263.16</v>
      </c>
      <c r="K77" s="103"/>
      <c r="L77" s="135">
        <v>44263</v>
      </c>
      <c r="M77" s="135"/>
      <c r="N77" s="114" t="s">
        <v>204</v>
      </c>
      <c r="O77" s="114"/>
      <c r="P77" s="114"/>
      <c r="Q77" s="114"/>
      <c r="R77" s="103">
        <v>104.36</v>
      </c>
      <c r="S77" s="103"/>
      <c r="U77" s="58" t="s">
        <v>106</v>
      </c>
    </row>
    <row r="78" spans="1:35" ht="18" customHeight="1" x14ac:dyDescent="0.4">
      <c r="A78"/>
      <c r="B78"/>
      <c r="C78" s="207"/>
      <c r="D78" s="208"/>
      <c r="E78" s="119"/>
      <c r="F78" s="119"/>
      <c r="G78" s="119"/>
      <c r="H78" s="103"/>
      <c r="I78" s="103"/>
      <c r="J78" s="103"/>
      <c r="K78" s="103"/>
      <c r="L78" s="135"/>
      <c r="M78" s="135"/>
      <c r="N78" s="114"/>
      <c r="O78" s="114"/>
      <c r="P78" s="114"/>
      <c r="Q78" s="114"/>
      <c r="R78" s="103"/>
      <c r="S78" s="103"/>
      <c r="V78" s="58" t="s">
        <v>107</v>
      </c>
    </row>
    <row r="79" spans="1:35" ht="18" customHeight="1" x14ac:dyDescent="0.4">
      <c r="A79"/>
      <c r="B79"/>
      <c r="C79" s="209" t="s">
        <v>78</v>
      </c>
      <c r="D79" s="210"/>
      <c r="E79" s="131">
        <v>4</v>
      </c>
      <c r="F79" s="131" t="s">
        <v>203</v>
      </c>
      <c r="G79" s="131"/>
      <c r="H79" s="104">
        <v>2158.8000000000002</v>
      </c>
      <c r="I79" s="104"/>
      <c r="J79" s="104"/>
      <c r="K79" s="104"/>
      <c r="L79" s="113"/>
      <c r="M79" s="113"/>
      <c r="N79" s="136" t="s">
        <v>204</v>
      </c>
      <c r="O79" s="136"/>
      <c r="P79" s="136"/>
      <c r="Q79" s="136"/>
      <c r="R79" s="104"/>
      <c r="S79" s="104"/>
      <c r="V79" s="58" t="s">
        <v>108</v>
      </c>
    </row>
    <row r="80" spans="1:35" ht="18" customHeight="1" x14ac:dyDescent="0.4">
      <c r="A80"/>
      <c r="B80"/>
      <c r="C80" s="211"/>
      <c r="D80" s="212"/>
      <c r="E80" s="131"/>
      <c r="F80" s="131"/>
      <c r="G80" s="131"/>
      <c r="H80" s="104"/>
      <c r="I80" s="104"/>
      <c r="J80" s="104"/>
      <c r="K80" s="104"/>
      <c r="L80" s="113"/>
      <c r="M80" s="113"/>
      <c r="N80" s="136"/>
      <c r="O80" s="136"/>
      <c r="P80" s="136"/>
      <c r="Q80" s="136"/>
      <c r="R80" s="104"/>
      <c r="S80" s="104"/>
    </row>
    <row r="81" spans="1:19" ht="18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Q81"/>
    </row>
    <row r="82" spans="1:19" ht="36" customHeight="1" x14ac:dyDescent="0.4">
      <c r="A82"/>
      <c r="B82"/>
      <c r="C82"/>
      <c r="D82"/>
      <c r="E82" s="118" t="s">
        <v>96</v>
      </c>
      <c r="F82" s="118"/>
      <c r="G82" s="118"/>
      <c r="H82" s="118"/>
      <c r="I82" s="118"/>
      <c r="J82" s="202">
        <f>SUM(RestantsDusSurFacturesAppeles)</f>
        <v>1114.18</v>
      </c>
      <c r="K82" s="202"/>
      <c r="L82"/>
      <c r="Q82"/>
      <c r="R82"/>
      <c r="S82"/>
    </row>
    <row r="83" spans="1:19" ht="18" customHeight="1" x14ac:dyDescent="0.4">
      <c r="A83"/>
      <c r="B83"/>
      <c r="C83"/>
      <c r="D83"/>
      <c r="E83" s="118"/>
      <c r="F83" s="118"/>
      <c r="G83" s="118"/>
      <c r="H83" s="118"/>
      <c r="I83" s="118"/>
      <c r="J83" s="202"/>
      <c r="K83" s="202"/>
      <c r="L83"/>
      <c r="M83" s="58" t="s">
        <v>86</v>
      </c>
      <c r="Q83"/>
      <c r="R83"/>
      <c r="S83"/>
    </row>
    <row r="84" spans="1:19" ht="18" customHeight="1" x14ac:dyDescent="0.4">
      <c r="A84" s="1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9" ht="18" customHeight="1" x14ac:dyDescent="0.4">
      <c r="A85"/>
      <c r="B85"/>
      <c r="C85"/>
      <c r="D85"/>
      <c r="E85"/>
      <c r="F85"/>
      <c r="G85"/>
      <c r="H85"/>
      <c r="I85" s="40" t="s">
        <v>87</v>
      </c>
      <c r="J85" s="203">
        <f>$AC$52-SUM(MontantsFacturesAppeles)</f>
        <v>208.72000000000116</v>
      </c>
      <c r="K85" s="203"/>
      <c r="L85"/>
      <c r="M85"/>
      <c r="N85"/>
      <c r="O85"/>
      <c r="P85"/>
      <c r="Q85"/>
    </row>
    <row r="86" spans="1:19" ht="18" customHeight="1" x14ac:dyDescent="0.4">
      <c r="A86"/>
      <c r="B86"/>
      <c r="C86"/>
      <c r="L86"/>
      <c r="M86"/>
      <c r="N86"/>
      <c r="O86"/>
      <c r="P86"/>
      <c r="Q86"/>
    </row>
    <row r="87" spans="1:19" ht="18" customHeight="1" x14ac:dyDescent="0.4">
      <c r="A87"/>
      <c r="B87"/>
      <c r="C87"/>
      <c r="E87" s="130" t="s">
        <v>103</v>
      </c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/>
      <c r="Q87"/>
    </row>
    <row r="88" spans="1:19" ht="18" customHeight="1" x14ac:dyDescent="0.4">
      <c r="A88"/>
      <c r="B88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/>
      <c r="Q88"/>
    </row>
    <row r="89" spans="1:19" x14ac:dyDescent="0.4">
      <c r="A89"/>
      <c r="B89"/>
      <c r="E89" s="120" t="s">
        <v>97</v>
      </c>
      <c r="F89" s="120"/>
      <c r="G89" s="120"/>
      <c r="H89" s="120"/>
      <c r="I89" s="120"/>
      <c r="J89" s="120"/>
      <c r="K89" s="120" t="s">
        <v>99</v>
      </c>
      <c r="L89" s="120"/>
      <c r="M89" s="120" t="s">
        <v>101</v>
      </c>
      <c r="N89" s="120"/>
      <c r="O89" s="120"/>
      <c r="P89"/>
      <c r="Q89"/>
    </row>
    <row r="90" spans="1:19" x14ac:dyDescent="0.4">
      <c r="A90"/>
      <c r="B9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/>
      <c r="Q90"/>
    </row>
    <row r="91" spans="1:19" x14ac:dyDescent="0.4">
      <c r="A91"/>
      <c r="B91"/>
      <c r="E91" s="121" t="s">
        <v>98</v>
      </c>
      <c r="F91" s="121"/>
      <c r="G91" s="121"/>
      <c r="H91" s="121"/>
      <c r="I91" s="121"/>
      <c r="J91" s="121"/>
      <c r="K91" s="121" t="s">
        <v>100</v>
      </c>
      <c r="L91" s="121"/>
      <c r="M91" s="121" t="s">
        <v>102</v>
      </c>
      <c r="N91" s="121"/>
      <c r="O91" s="121"/>
      <c r="P91"/>
      <c r="Q91"/>
    </row>
    <row r="92" spans="1:19" x14ac:dyDescent="0.4">
      <c r="A92"/>
      <c r="B92"/>
      <c r="C9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/>
      <c r="Q92"/>
      <c r="R92"/>
      <c r="S92"/>
    </row>
    <row r="93" spans="1:19" ht="17.399999999999999" customHeight="1" x14ac:dyDescent="0.4">
      <c r="A93"/>
      <c r="B93"/>
      <c r="C93"/>
      <c r="H93"/>
      <c r="I93"/>
      <c r="J93"/>
      <c r="K93"/>
      <c r="L93"/>
      <c r="M93"/>
      <c r="N93"/>
      <c r="O93"/>
      <c r="P93"/>
      <c r="Q93"/>
      <c r="R93"/>
      <c r="S93"/>
    </row>
    <row r="94" spans="1:19" ht="17.399999999999999" customHeight="1" x14ac:dyDescent="0.4">
      <c r="A94"/>
      <c r="B94"/>
      <c r="C94"/>
      <c r="H94"/>
      <c r="I94"/>
      <c r="J94"/>
      <c r="K94"/>
      <c r="L94"/>
      <c r="M94"/>
      <c r="N94"/>
      <c r="O94"/>
      <c r="P94"/>
      <c r="Q94"/>
      <c r="R94"/>
      <c r="S94"/>
    </row>
    <row r="95" spans="1:19" ht="17.399999999999999" customHeight="1" x14ac:dyDescent="0.4">
      <c r="A95"/>
      <c r="B95"/>
      <c r="R95"/>
      <c r="S95"/>
    </row>
    <row r="96" spans="1:19" ht="17.399999999999999" customHeight="1" x14ac:dyDescent="0.65">
      <c r="A96"/>
      <c r="B96"/>
      <c r="F96" s="170" t="s">
        <v>180</v>
      </c>
      <c r="G96" s="170"/>
      <c r="H96" s="170"/>
      <c r="I96" s="170"/>
      <c r="J96" s="170"/>
      <c r="K96" s="170"/>
      <c r="L96" s="170"/>
      <c r="M96" s="170"/>
      <c r="N96" s="170"/>
    </row>
    <row r="97" spans="1:17" ht="17.399999999999999" customHeight="1" x14ac:dyDescent="0.4">
      <c r="A97"/>
      <c r="B97"/>
    </row>
    <row r="98" spans="1:17" ht="17.399999999999999" customHeight="1" x14ac:dyDescent="0.4">
      <c r="A98"/>
    </row>
    <row r="99" spans="1:17" ht="17.399999999999999" customHeight="1" x14ac:dyDescent="0.4"/>
    <row r="100" spans="1:17" ht="17.399999999999999" customHeight="1" x14ac:dyDescent="0.4"/>
    <row r="105" spans="1:17" ht="28.8" x14ac:dyDescent="0.65">
      <c r="D105" s="174" t="s">
        <v>181</v>
      </c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</row>
    <row r="106" spans="1:17" x14ac:dyDescent="0.4">
      <c r="D106" s="175" t="s">
        <v>183</v>
      </c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</row>
  </sheetData>
  <mergeCells count="141">
    <mergeCell ref="I69:J69"/>
    <mergeCell ref="H37:K38"/>
    <mergeCell ref="L37:M38"/>
    <mergeCell ref="H39:K39"/>
    <mergeCell ref="F34:F35"/>
    <mergeCell ref="G34:H35"/>
    <mergeCell ref="I34:J34"/>
    <mergeCell ref="L34:M34"/>
    <mergeCell ref="N34:O35"/>
    <mergeCell ref="I35:J35"/>
    <mergeCell ref="L35:M35"/>
    <mergeCell ref="C64:F66"/>
    <mergeCell ref="P64:Q64"/>
    <mergeCell ref="P65:Q67"/>
    <mergeCell ref="D69:E69"/>
    <mergeCell ref="F69:G69"/>
    <mergeCell ref="R79:S80"/>
    <mergeCell ref="C79:D80"/>
    <mergeCell ref="E79:E80"/>
    <mergeCell ref="F79:G80"/>
    <mergeCell ref="H79:I80"/>
    <mergeCell ref="J79:K80"/>
    <mergeCell ref="L79:M80"/>
    <mergeCell ref="C77:D78"/>
    <mergeCell ref="E77:E78"/>
    <mergeCell ref="F77:G78"/>
    <mergeCell ref="H77:I78"/>
    <mergeCell ref="J77:K78"/>
    <mergeCell ref="L77:M78"/>
    <mergeCell ref="N77:Q78"/>
    <mergeCell ref="R73:S74"/>
    <mergeCell ref="R71:S72"/>
    <mergeCell ref="C73:D74"/>
    <mergeCell ref="R64:S64"/>
    <mergeCell ref="R65:S67"/>
    <mergeCell ref="L73:M74"/>
    <mergeCell ref="N73:Q74"/>
    <mergeCell ref="H71:I72"/>
    <mergeCell ref="J71:K72"/>
    <mergeCell ref="L71:M72"/>
    <mergeCell ref="N71:Q72"/>
    <mergeCell ref="E73:E74"/>
    <mergeCell ref="F73:G74"/>
    <mergeCell ref="H73:I74"/>
    <mergeCell ref="J73:K74"/>
    <mergeCell ref="F96:N96"/>
    <mergeCell ref="D105:Q105"/>
    <mergeCell ref="D106:Q106"/>
    <mergeCell ref="R75:S76"/>
    <mergeCell ref="E82:I83"/>
    <mergeCell ref="J82:K83"/>
    <mergeCell ref="J85:K85"/>
    <mergeCell ref="E87:O88"/>
    <mergeCell ref="E89:J90"/>
    <mergeCell ref="K89:L90"/>
    <mergeCell ref="M89:O90"/>
    <mergeCell ref="R77:S78"/>
    <mergeCell ref="N79:Q80"/>
    <mergeCell ref="C75:D76"/>
    <mergeCell ref="E75:E76"/>
    <mergeCell ref="F75:G76"/>
    <mergeCell ref="H75:I76"/>
    <mergeCell ref="J75:K76"/>
    <mergeCell ref="L75:M76"/>
    <mergeCell ref="N75:Q76"/>
    <mergeCell ref="E91:J92"/>
    <mergeCell ref="K91:L92"/>
    <mergeCell ref="M91:O92"/>
    <mergeCell ref="L39:M39"/>
    <mergeCell ref="Z29:AB30"/>
    <mergeCell ref="AC29:AC31"/>
    <mergeCell ref="H40:K40"/>
    <mergeCell ref="L40:M40"/>
    <mergeCell ref="H41:K41"/>
    <mergeCell ref="L41:M41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E20:Q20"/>
    <mergeCell ref="E21:Q21"/>
    <mergeCell ref="E22:Q22"/>
    <mergeCell ref="E23:Q23"/>
    <mergeCell ref="E24:Q24"/>
    <mergeCell ref="E25:Q25"/>
    <mergeCell ref="E26:Q26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P8:Q8"/>
    <mergeCell ref="R8:S8"/>
    <mergeCell ref="H4:J4"/>
    <mergeCell ref="K4:M4"/>
    <mergeCell ref="H5:J5"/>
    <mergeCell ref="K5:M5"/>
    <mergeCell ref="P5:Q5"/>
    <mergeCell ref="R5:S5"/>
    <mergeCell ref="D12:E12"/>
    <mergeCell ref="F12:G12"/>
    <mergeCell ref="I12:J12"/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C17:C26 G30:H35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5:P106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95B0-FF5B-46B7-8A9B-A156C6D29448}">
  <sheetPr codeName="Feuil6">
    <pageSetUpPr fitToPage="1"/>
  </sheetPr>
  <dimension ref="A1:AJ100"/>
  <sheetViews>
    <sheetView topLeftCell="D1" zoomScale="84" zoomScaleNormal="84" workbookViewId="0">
      <selection activeCell="K12" sqref="K12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</row>
    <row r="3" spans="1:33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58" t="s">
        <v>132</v>
      </c>
      <c r="P5" s="116" t="s">
        <v>10</v>
      </c>
      <c r="Q5" s="116"/>
      <c r="R5" s="96"/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/>
      <c r="S8" s="138"/>
    </row>
    <row r="9" spans="1:33" ht="18" customHeight="1" thickBot="1" x14ac:dyDescent="0.45">
      <c r="P9" s="155" t="s">
        <v>104</v>
      </c>
      <c r="Q9" s="155"/>
      <c r="R9" s="139" t="str">
        <f ca="1"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/>
      <c r="S10" s="144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N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0</v>
      </c>
      <c r="AG11" s="58" t="s">
        <v>159</v>
      </c>
    </row>
    <row r="12" spans="1:33" ht="18" customHeight="1" x14ac:dyDescent="0.4">
      <c r="C12" s="58" t="s">
        <v>123</v>
      </c>
      <c r="D12" s="154" t="s">
        <v>188</v>
      </c>
      <c r="E12" s="154"/>
      <c r="F12" s="102">
        <v>44197</v>
      </c>
      <c r="G12" s="102"/>
      <c r="H12" s="79" t="s">
        <v>136</v>
      </c>
      <c r="I12" s="101">
        <v>0</v>
      </c>
      <c r="J12" s="101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3" ht="18" customHeight="1" x14ac:dyDescent="0.4">
      <c r="A17" s="20"/>
      <c r="C17" s="16"/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/>
      <c r="S17" s="25"/>
      <c r="AG17" s="58" t="s">
        <v>164</v>
      </c>
    </row>
    <row r="18" spans="1:33" ht="18" customHeight="1" thickBot="1" x14ac:dyDescent="0.45">
      <c r="B18" s="3"/>
      <c r="C18" s="18"/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/>
      <c r="S18" s="26"/>
      <c r="AG18" s="58" t="s">
        <v>165</v>
      </c>
    </row>
    <row r="19" spans="1:33" ht="18" customHeight="1" thickBot="1" x14ac:dyDescent="0.45">
      <c r="A19"/>
      <c r="B19"/>
      <c r="Z19" s="157" t="s">
        <v>74</v>
      </c>
      <c r="AA19" s="158"/>
      <c r="AG19" s="58" t="s">
        <v>166</v>
      </c>
    </row>
    <row r="20" spans="1:33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thickTop="1" x14ac:dyDescent="0.4">
      <c r="F22" s="124">
        <v>0</v>
      </c>
      <c r="G22" s="184" t="s">
        <v>188</v>
      </c>
      <c r="H22" s="185"/>
      <c r="I22" s="91" t="str">
        <f>IF(TVANExiste="Y",(SUMIFS(MontantsArticlesHT,RefsDevisEtDMP,$G22,CodesTVA,"N")+SUMIFS(MontantsArticlesHT,RefsDevisEtDMP,$G22,CodesTVA,"A + N")+SUMIF(UniqueRefDevisEtDMPs,$G22,TaxeAmeublementN))*$F22,"")</f>
        <v/>
      </c>
      <c r="J22" s="92"/>
      <c r="K22" s="33" t="str">
        <f>IF(TVANExiste="Y","N = 20 %","")</f>
        <v/>
      </c>
      <c r="L22" s="89" t="str">
        <f>IF(TVANExiste="Y",$I22*20%,"")</f>
        <v/>
      </c>
      <c r="M22" s="90"/>
      <c r="N22" s="180">
        <f>SUM($I22:$J23)+SUM($L22:$M23)</f>
        <v>0</v>
      </c>
      <c r="O22" s="181"/>
      <c r="Z22" s="36"/>
      <c r="AA22" s="36"/>
      <c r="AG22" s="58" t="s">
        <v>169</v>
      </c>
    </row>
    <row r="23" spans="1:33" ht="18" customHeight="1" thickBot="1" x14ac:dyDescent="0.45">
      <c r="F23" s="125"/>
      <c r="G23" s="186"/>
      <c r="H23" s="187"/>
      <c r="I23" s="93" t="str">
        <f>IF(TVARExiste="Y",(SUMIFS(MontantsArticlesHT,RefsDevisEtDMP,$G22,CodesTVA,"R")+SUMIFS(MontantsArticlesHT,RefsDevisEtDMP,$G22,CodesTVA,"A + R")+SUMIF(UniqueRefDevisEtDMPs,$G22,TaxeAmeublementR))*$F22,"")</f>
        <v/>
      </c>
      <c r="J23" s="94"/>
      <c r="K23" s="82" t="str">
        <f>IF(TVARExiste="Y","R = 10 % *","")</f>
        <v/>
      </c>
      <c r="L23" s="93" t="str">
        <f>IF(TVARExiste="Y",$I23*10%,"")</f>
        <v/>
      </c>
      <c r="M23" s="94"/>
      <c r="N23" s="182"/>
      <c r="O23" s="183"/>
      <c r="AG23" s="58" t="s">
        <v>170</v>
      </c>
    </row>
    <row r="24" spans="1:33" ht="18" customHeight="1" thickTop="1" x14ac:dyDescent="0.4">
      <c r="F24" s="126">
        <v>0</v>
      </c>
      <c r="G24" s="188" t="s">
        <v>24</v>
      </c>
      <c r="H24" s="189"/>
      <c r="I24" s="87" t="str">
        <f>IF(TVANExiste="Y",(SUMIFS(MontantsArticlesHT,RefsDevisEtDMP,$G24,CodesTVA,"N")+SUMIFS(MontantsArticlesHT,RefsDevisEtDMP,$G24,CodesTVA,"A + N")+SUMIF(UniqueRefDevisEtDMPs,$G24,TaxeAmeublementN))*$F24,"")</f>
        <v/>
      </c>
      <c r="J24" s="88"/>
      <c r="K24" s="23" t="str">
        <f>IF(TVANExiste="Y","N = 20 %","")</f>
        <v/>
      </c>
      <c r="L24" s="87" t="str">
        <f>IF(TVANExiste="Y",$I24*20%,"")</f>
        <v/>
      </c>
      <c r="M24" s="88"/>
      <c r="N24" s="176">
        <f>SUM($I24:$J25)+SUM($L24:$M25)</f>
        <v>0</v>
      </c>
      <c r="O24" s="177"/>
      <c r="AG24" s="58" t="s">
        <v>171</v>
      </c>
    </row>
    <row r="25" spans="1:33" ht="18" customHeight="1" thickBot="1" x14ac:dyDescent="0.45">
      <c r="F25" s="127"/>
      <c r="G25" s="190"/>
      <c r="H25" s="191"/>
      <c r="I25" s="105" t="str">
        <f>IF(TVARExiste="Y",(SUMIFS(MontantsArticlesHT,RefsDevisEtDMP,$G24,CodesTVA,"R")+SUMIFS(MontantsArticlesHT,RefsDevisEtDMP,$G24,CodesTVA,"A + R")+SUMIF(UniqueRefDevisEtDMPs,$G24,TaxeAmeublementR))*$F24,"")</f>
        <v/>
      </c>
      <c r="J25" s="106"/>
      <c r="K25" s="22" t="str">
        <f>IF(TVARExiste="Y","R = 10 % *","")</f>
        <v/>
      </c>
      <c r="L25" s="105" t="str">
        <f>IF(TVARExiste="Y",$I25*10%,"")</f>
        <v/>
      </c>
      <c r="M25" s="106"/>
      <c r="N25" s="178"/>
      <c r="O25" s="179"/>
      <c r="AG25" s="58" t="s">
        <v>172</v>
      </c>
    </row>
    <row r="26" spans="1:33" ht="18" customHeight="1" thickTop="1" x14ac:dyDescent="0.4">
      <c r="AG26" s="58" t="s">
        <v>173</v>
      </c>
    </row>
    <row r="27" spans="1:33" ht="18" customHeight="1" x14ac:dyDescent="0.4">
      <c r="H27" s="195" t="str">
        <f ca="1"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0</v>
      </c>
      <c r="M27" s="194"/>
      <c r="AG27" s="58" t="s">
        <v>174</v>
      </c>
    </row>
    <row r="28" spans="1:33" ht="18" customHeight="1" thickBot="1" x14ac:dyDescent="0.45">
      <c r="H28" s="195"/>
      <c r="I28" s="195"/>
      <c r="J28" s="195"/>
      <c r="K28" s="195"/>
      <c r="L28" s="194"/>
      <c r="M28" s="194"/>
      <c r="AG28" s="58" t="s">
        <v>175</v>
      </c>
    </row>
    <row r="29" spans="1:33" ht="18" customHeight="1" x14ac:dyDescent="0.4">
      <c r="H29" s="133" t="str">
        <f>IF(TVANExiste="Y","** dont Total T.V.A (N) 20 % : ","")</f>
        <v/>
      </c>
      <c r="I29" s="133"/>
      <c r="J29" s="133"/>
      <c r="K29" s="133"/>
      <c r="L29" s="129" t="str">
        <f>IF(TVANExiste="Y",SUMIF(TauxTVAAppeles,"N = 20 %",MontantsTVAAppeles),"")</f>
        <v/>
      </c>
      <c r="M29" s="129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Bot="1" x14ac:dyDescent="0.45">
      <c r="H30" s="134" t="str">
        <f>IF(TVARExiste="Y","** dont Total T.V.A Réduit (R) 10 % : ","")</f>
        <v/>
      </c>
      <c r="I30" s="134"/>
      <c r="J30" s="134"/>
      <c r="K30" s="134"/>
      <c r="L30" s="129" t="str">
        <f>IF(TVARExiste="Y",SUMIF(TauxTVAAppeles,"R = 10 % *",MontantsTVAAppeles),"")</f>
        <v/>
      </c>
      <c r="M30" s="129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H31" s="115" t="str">
        <f>IF(TaxeAmeublementExiste="Y","** dont Taxe d'ameublement (A) 0,18% : ","")</f>
        <v/>
      </c>
      <c r="I31" s="115"/>
      <c r="J31" s="115"/>
      <c r="K31" s="115"/>
      <c r="L31" s="128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8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Bot="1" x14ac:dyDescent="0.45">
      <c r="B32" s="20"/>
      <c r="H32" s="80"/>
      <c r="I32" s="80"/>
      <c r="J32" s="80"/>
      <c r="K32" s="80"/>
      <c r="L32" s="81"/>
      <c r="M32" s="81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8" t="s">
        <v>179</v>
      </c>
    </row>
    <row r="33" spans="1:36" ht="18" customHeight="1" thickBot="1" x14ac:dyDescent="0.45">
      <c r="A33" s="20"/>
      <c r="B33"/>
      <c r="H33" s="80"/>
      <c r="I33" s="80"/>
      <c r="J33" s="80"/>
      <c r="K33" s="80"/>
      <c r="L33" s="81"/>
      <c r="M33" s="81"/>
      <c r="Y33" s="20"/>
      <c r="Z33" s="50"/>
      <c r="AA33" s="29"/>
      <c r="AB33" s="24"/>
      <c r="AC33" s="72"/>
    </row>
    <row r="34" spans="1:36" ht="18" customHeight="1" thickBot="1" x14ac:dyDescent="0.45">
      <c r="A34"/>
      <c r="B34"/>
      <c r="H34" s="80"/>
      <c r="I34" s="80"/>
      <c r="J34" s="80"/>
      <c r="K34" s="80"/>
      <c r="L34" s="81"/>
      <c r="M34" s="81"/>
      <c r="Z34" s="50"/>
      <c r="AA34" s="29"/>
      <c r="AB34" s="24"/>
      <c r="AC34" s="73"/>
    </row>
    <row r="35" spans="1:36" ht="18" customHeight="1" thickBot="1" x14ac:dyDescent="0.45">
      <c r="A35"/>
      <c r="B35"/>
      <c r="H35" s="80"/>
      <c r="I35" s="80"/>
      <c r="J35" s="80"/>
      <c r="K35" s="80"/>
      <c r="L35" s="81"/>
      <c r="M35" s="81"/>
      <c r="Z35" s="50"/>
      <c r="AA35" s="29"/>
      <c r="AB35" s="24"/>
      <c r="AC35" s="72"/>
    </row>
    <row r="36" spans="1:36" ht="18" customHeight="1" thickBot="1" x14ac:dyDescent="0.45">
      <c r="A36"/>
      <c r="B36"/>
      <c r="H36" s="80"/>
      <c r="I36" s="80"/>
      <c r="J36" s="80"/>
      <c r="K36" s="80"/>
      <c r="L36" s="81"/>
      <c r="M36" s="81"/>
      <c r="Z36" s="50"/>
      <c r="AA36" s="29"/>
      <c r="AB36" s="24"/>
      <c r="AC36" s="73"/>
    </row>
    <row r="37" spans="1:36" ht="18" customHeight="1" thickBot="1" x14ac:dyDescent="0.45">
      <c r="A37"/>
      <c r="B37"/>
      <c r="H37" s="80"/>
      <c r="I37" s="80"/>
      <c r="J37" s="80"/>
      <c r="K37" s="80"/>
      <c r="L37" s="81"/>
      <c r="M37" s="81"/>
      <c r="Z37" s="50"/>
      <c r="AA37" s="29"/>
      <c r="AB37" s="24"/>
      <c r="AC37" s="72"/>
    </row>
    <row r="38" spans="1:36" ht="18" customHeight="1" thickBot="1" x14ac:dyDescent="0.45">
      <c r="A38"/>
      <c r="B38"/>
      <c r="H38" s="80"/>
      <c r="I38" s="80"/>
      <c r="J38" s="80"/>
      <c r="K38" s="80"/>
      <c r="L38" s="81"/>
      <c r="M38" s="81"/>
      <c r="Z38" s="50"/>
      <c r="AA38" s="29"/>
      <c r="AB38" s="24"/>
      <c r="AC38" s="73"/>
    </row>
    <row r="39" spans="1:36" ht="18" customHeight="1" thickBot="1" x14ac:dyDescent="0.45">
      <c r="A39"/>
      <c r="B39"/>
      <c r="H39" s="80"/>
      <c r="I39" s="80"/>
      <c r="J39" s="80"/>
      <c r="K39" s="80"/>
      <c r="L39" s="81"/>
      <c r="M39" s="81"/>
      <c r="Z39" s="50"/>
      <c r="AA39" s="29"/>
      <c r="AB39" s="24"/>
      <c r="AC39" s="72"/>
    </row>
    <row r="40" spans="1:36" ht="18" customHeight="1" thickBot="1" x14ac:dyDescent="0.45">
      <c r="A40"/>
      <c r="B40"/>
      <c r="H40" s="80"/>
      <c r="I40" s="80"/>
      <c r="J40" s="80"/>
      <c r="K40" s="80"/>
      <c r="L40" s="81"/>
      <c r="M40" s="81"/>
      <c r="Z40" s="50"/>
      <c r="AA40" s="29"/>
      <c r="AB40" s="24"/>
      <c r="AC40" s="73"/>
      <c r="AJ40" s="11"/>
    </row>
    <row r="41" spans="1:36" ht="18" customHeight="1" thickBot="1" x14ac:dyDescent="0.45">
      <c r="A41"/>
      <c r="B41"/>
      <c r="H41" s="80"/>
      <c r="I41" s="80"/>
      <c r="J41" s="80"/>
      <c r="K41" s="80"/>
      <c r="L41" s="81"/>
      <c r="M41" s="81"/>
      <c r="Z41" s="50"/>
      <c r="AA41" s="29"/>
      <c r="AB41" s="24"/>
      <c r="AC41" s="72"/>
      <c r="AJ41" s="11"/>
    </row>
    <row r="42" spans="1:36" ht="18" customHeight="1" thickBot="1" x14ac:dyDescent="0.45">
      <c r="A42"/>
      <c r="B42"/>
      <c r="H42" s="80"/>
      <c r="I42" s="80"/>
      <c r="J42" s="80"/>
      <c r="K42" s="80"/>
      <c r="L42" s="81"/>
      <c r="M42" s="81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80"/>
      <c r="I43" s="80"/>
      <c r="J43" s="80"/>
      <c r="K43" s="80"/>
      <c r="L43" s="81"/>
      <c r="M43" s="81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80"/>
      <c r="I44" s="80"/>
      <c r="J44" s="80"/>
      <c r="K44" s="80"/>
      <c r="L44" s="81"/>
      <c r="M44" s="81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80"/>
      <c r="I45" s="80"/>
      <c r="J45" s="80"/>
      <c r="K45" s="80"/>
      <c r="L45" s="81"/>
      <c r="M45" s="81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80"/>
      <c r="I46" s="80"/>
      <c r="J46" s="80"/>
      <c r="K46" s="80"/>
      <c r="L46" s="81"/>
      <c r="M46" s="81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80"/>
      <c r="I47" s="80"/>
      <c r="J47" s="80"/>
      <c r="K47" s="80"/>
      <c r="L47" s="81"/>
      <c r="M47" s="81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80"/>
      <c r="I48" s="80"/>
      <c r="J48" s="80"/>
      <c r="K48" s="80"/>
      <c r="L48" s="81"/>
      <c r="M48" s="81"/>
    </row>
    <row r="49" spans="1:36" ht="18" customHeight="1" x14ac:dyDescent="0.4">
      <c r="A49"/>
      <c r="B49"/>
      <c r="H49" s="80"/>
      <c r="I49" s="80"/>
      <c r="J49" s="80"/>
      <c r="K49" s="80"/>
      <c r="L49" s="81"/>
      <c r="M49" s="81"/>
      <c r="AB49" s="58" t="s">
        <v>116</v>
      </c>
      <c r="AC49" s="49">
        <f>IFERROR(SUM(MontantsArticlesHT)+AC50,SUM(MontantsArticlesHT))</f>
        <v>0</v>
      </c>
    </row>
    <row r="50" spans="1:36" ht="18" customHeight="1" x14ac:dyDescent="0.4">
      <c r="A50"/>
      <c r="B50"/>
      <c r="H50" s="80"/>
      <c r="I50" s="80"/>
      <c r="J50" s="80"/>
      <c r="K50" s="80"/>
      <c r="L50" s="81"/>
      <c r="M50" s="81"/>
      <c r="AB50" s="48" t="str">
        <f>IF(TaxeAmeublementExiste="Y","Taxe d'ameublement (A) 0,18%","")</f>
        <v/>
      </c>
      <c r="AC50" s="49" t="str">
        <f>IF(TaxeAmeublementExiste="Y",TotalTaxeAmeublement,"")</f>
        <v/>
      </c>
    </row>
    <row r="51" spans="1:36" customFormat="1" ht="18" customHeight="1" x14ac:dyDescent="0.4">
      <c r="C51" s="58"/>
      <c r="D51" s="58"/>
      <c r="E51" s="58"/>
      <c r="F51" s="58"/>
      <c r="G51" s="58"/>
      <c r="H51" s="80"/>
      <c r="I51" s="80"/>
      <c r="J51" s="80"/>
      <c r="K51" s="80"/>
      <c r="L51" s="81"/>
      <c r="M51" s="81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0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80"/>
      <c r="I52" s="80"/>
      <c r="J52" s="80"/>
      <c r="K52" s="80"/>
      <c r="L52" s="81"/>
      <c r="M52" s="81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0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58"/>
      <c r="E53" s="58"/>
      <c r="F53" s="58"/>
      <c r="G53" s="58"/>
      <c r="H53" s="28"/>
      <c r="I53" s="58"/>
      <c r="J53" s="58"/>
      <c r="K53" s="58"/>
      <c r="L53" s="58"/>
      <c r="M53" s="81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0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192" t="s">
        <v>75</v>
      </c>
      <c r="D54" s="192"/>
      <c r="E54" s="192"/>
      <c r="F54" s="192"/>
      <c r="I54" s="58"/>
      <c r="J54" s="58"/>
      <c r="K54" s="58"/>
      <c r="L54" s="58"/>
      <c r="M54" s="58"/>
      <c r="N54" s="58"/>
      <c r="O54" s="58"/>
      <c r="P54" s="116" t="s">
        <v>76</v>
      </c>
      <c r="Q54" s="116"/>
      <c r="R54" s="96">
        <f>R8</f>
        <v>0</v>
      </c>
      <c r="S54" s="97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0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192"/>
      <c r="D55" s="192"/>
      <c r="E55" s="192"/>
      <c r="F55" s="192"/>
      <c r="I55" s="58"/>
      <c r="J55" s="58"/>
      <c r="K55" s="58"/>
      <c r="L55" s="58"/>
      <c r="M55" s="58"/>
      <c r="N55" s="58"/>
      <c r="O55" s="58"/>
      <c r="P55" s="168" t="s">
        <v>77</v>
      </c>
      <c r="Q55" s="193"/>
      <c r="R55" s="98" t="str">
        <f ca="1">R9</f>
        <v>FC-2020573</v>
      </c>
      <c r="S55" s="99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192"/>
      <c r="D56" s="192"/>
      <c r="E56" s="192"/>
      <c r="F56" s="192"/>
      <c r="I56" s="58"/>
      <c r="J56" s="58"/>
      <c r="K56" s="58"/>
      <c r="L56" s="58"/>
      <c r="M56" s="58"/>
      <c r="N56" s="58"/>
      <c r="O56" s="58"/>
      <c r="P56" s="168"/>
      <c r="Q56" s="193"/>
      <c r="R56" s="98"/>
      <c r="S56" s="99"/>
      <c r="T56" s="58"/>
      <c r="U56" s="58"/>
      <c r="V56" s="58"/>
      <c r="W56" s="58"/>
      <c r="X56" s="58"/>
      <c r="AB56" s="48" t="s">
        <v>117</v>
      </c>
      <c r="AC56" s="58" t="str">
        <f>Cocoon!$AB$52&amp;" "&amp;TEXT(Cocoon!$AC$52,"# ##0,00")&amp;" €"</f>
        <v>Total Devis T.T.C : 0,00 €</v>
      </c>
    </row>
    <row r="57" spans="1:36" customFormat="1" ht="18" customHeight="1" x14ac:dyDescent="0.4">
      <c r="I57" s="58"/>
      <c r="J57" s="58"/>
      <c r="K57" s="58"/>
      <c r="L57" s="58"/>
      <c r="M57" s="58"/>
      <c r="N57" s="58"/>
      <c r="O57" s="58"/>
      <c r="P57" s="168"/>
      <c r="Q57" s="193"/>
      <c r="R57" s="98"/>
      <c r="S57" s="99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B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A59" s="58"/>
      <c r="B59" s="58"/>
      <c r="C59" s="58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58" t="str">
        <f>H12</f>
        <v>Montant T.T.C :</v>
      </c>
      <c r="I59" s="100">
        <f>I12</f>
        <v>0</v>
      </c>
      <c r="J59" s="100"/>
      <c r="L59" s="58"/>
      <c r="M59" s="58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79"/>
      <c r="E60" s="79"/>
      <c r="F60" s="58"/>
      <c r="G60" s="58"/>
      <c r="H60" s="58"/>
      <c r="I60" s="58"/>
      <c r="J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79"/>
      <c r="E61" s="79"/>
      <c r="F61" s="58"/>
      <c r="G61" s="58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G62" s="58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/>
      <c r="I63" s="103"/>
      <c r="J63" s="103"/>
      <c r="K63" s="103"/>
      <c r="L63" s="135"/>
      <c r="M63" s="135"/>
      <c r="N63" s="114"/>
      <c r="O63" s="114"/>
      <c r="P63" s="114"/>
      <c r="Q63" s="114"/>
      <c r="R63" s="103"/>
      <c r="S63" s="10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Q67"/>
      <c r="U67" s="52" t="s">
        <v>125</v>
      </c>
    </row>
    <row r="68" spans="1:35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0</v>
      </c>
      <c r="K68" s="202"/>
      <c r="L68"/>
      <c r="Q68"/>
      <c r="R68"/>
      <c r="S68"/>
      <c r="U68" s="71" t="s">
        <v>126</v>
      </c>
    </row>
    <row r="69" spans="1:35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58" t="s">
        <v>86</v>
      </c>
      <c r="Q69"/>
      <c r="R69"/>
      <c r="S69"/>
      <c r="U69" s="52" t="s">
        <v>127</v>
      </c>
    </row>
    <row r="70" spans="1:35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U70" s="52" t="s">
        <v>133</v>
      </c>
    </row>
    <row r="71" spans="1:35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$AC$52-SUM(MontantsFacturesAppeles)</f>
        <v>0</v>
      </c>
      <c r="K71" s="203"/>
      <c r="L71"/>
      <c r="M71"/>
      <c r="N71"/>
      <c r="O71"/>
      <c r="P71"/>
      <c r="Q71"/>
      <c r="U71" s="52" t="s">
        <v>154</v>
      </c>
    </row>
    <row r="72" spans="1:35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5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5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58" t="s">
        <v>186</v>
      </c>
    </row>
    <row r="75" spans="1:35" ht="18" customHeight="1" x14ac:dyDescent="0.4">
      <c r="A75"/>
      <c r="B75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58" t="s">
        <v>206</v>
      </c>
    </row>
    <row r="76" spans="1:35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</row>
    <row r="77" spans="1:35" ht="18" customHeight="1" x14ac:dyDescent="0.4">
      <c r="A77"/>
      <c r="B77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  <c r="U77" s="58" t="s">
        <v>106</v>
      </c>
    </row>
    <row r="78" spans="1:35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  <c r="V78" s="58" t="s">
        <v>107</v>
      </c>
    </row>
    <row r="79" spans="1:35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V79" s="58" t="s">
        <v>108</v>
      </c>
    </row>
    <row r="80" spans="1:35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19" ht="18" customHeight="1" x14ac:dyDescent="0.4">
      <c r="A81"/>
      <c r="B81"/>
      <c r="R81"/>
      <c r="S81"/>
    </row>
    <row r="82" spans="1:19" ht="36" customHeight="1" x14ac:dyDescent="0.65">
      <c r="A82"/>
      <c r="B82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19" ht="18" customHeight="1" x14ac:dyDescent="0.4">
      <c r="A83"/>
      <c r="B83"/>
    </row>
    <row r="84" spans="1:19" ht="18" customHeight="1" x14ac:dyDescent="0.4">
      <c r="A84"/>
    </row>
    <row r="85" spans="1:19" ht="18" customHeight="1" x14ac:dyDescent="0.4"/>
    <row r="86" spans="1:19" ht="18" customHeight="1" x14ac:dyDescent="0.4"/>
    <row r="87" spans="1:19" ht="18" customHeight="1" x14ac:dyDescent="0.4"/>
    <row r="88" spans="1:19" ht="18" customHeight="1" x14ac:dyDescent="0.4"/>
    <row r="91" spans="1:19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19" x14ac:dyDescent="0.4"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</row>
    <row r="93" spans="1:19" ht="17.399999999999999" customHeight="1" x14ac:dyDescent="0.4"/>
    <row r="94" spans="1:19" ht="17.399999999999999" customHeight="1" x14ac:dyDescent="0.4"/>
    <row r="95" spans="1:19" ht="17.399999999999999" customHeight="1" x14ac:dyDescent="0.4"/>
    <row r="96" spans="1:19" ht="17.399999999999999" customHeight="1" x14ac:dyDescent="0.4"/>
    <row r="97" ht="17.399999999999999" customHeight="1" x14ac:dyDescent="0.4"/>
    <row r="98" ht="17.399999999999999" customHeight="1" x14ac:dyDescent="0.4"/>
    <row r="99" ht="17.399999999999999" customHeight="1" x14ac:dyDescent="0.4"/>
    <row r="100" ht="17.399999999999999" customHeight="1" x14ac:dyDescent="0.4"/>
  </sheetData>
  <mergeCells count="110"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R14:R16"/>
    <mergeCell ref="S14:S16"/>
    <mergeCell ref="Z14:AA14"/>
    <mergeCell ref="E17:Q17"/>
    <mergeCell ref="E18:Q18"/>
    <mergeCell ref="Z19:AA19"/>
    <mergeCell ref="D12:E12"/>
    <mergeCell ref="F12:G12"/>
    <mergeCell ref="I12:J12"/>
    <mergeCell ref="F22:F23"/>
    <mergeCell ref="G22:H23"/>
    <mergeCell ref="I22:J22"/>
    <mergeCell ref="L22:M22"/>
    <mergeCell ref="N22:O23"/>
    <mergeCell ref="I23:J23"/>
    <mergeCell ref="L23:M23"/>
    <mergeCell ref="F20:F21"/>
    <mergeCell ref="G20:H21"/>
    <mergeCell ref="I20:J21"/>
    <mergeCell ref="K20:K21"/>
    <mergeCell ref="L20:M21"/>
    <mergeCell ref="N20:O21"/>
    <mergeCell ref="Z29:AB30"/>
    <mergeCell ref="AC29:AC31"/>
    <mergeCell ref="H30:K30"/>
    <mergeCell ref="L30:M30"/>
    <mergeCell ref="H31:K31"/>
    <mergeCell ref="L31:M31"/>
    <mergeCell ref="F24:F25"/>
    <mergeCell ref="G24:H25"/>
    <mergeCell ref="I24:J24"/>
    <mergeCell ref="L24:M24"/>
    <mergeCell ref="N24:O25"/>
    <mergeCell ref="I25:J25"/>
    <mergeCell ref="L25:M25"/>
    <mergeCell ref="C54:F56"/>
    <mergeCell ref="P54:Q54"/>
    <mergeCell ref="R54:S54"/>
    <mergeCell ref="P55:Q57"/>
    <mergeCell ref="R55:S57"/>
    <mergeCell ref="D59:E59"/>
    <mergeCell ref="F59:G59"/>
    <mergeCell ref="I59:J59"/>
    <mergeCell ref="H27:K28"/>
    <mergeCell ref="L27:M28"/>
    <mergeCell ref="H29:K29"/>
    <mergeCell ref="L29:M29"/>
    <mergeCell ref="H61:I62"/>
    <mergeCell ref="J61:K62"/>
    <mergeCell ref="L61:M62"/>
    <mergeCell ref="N61:Q62"/>
    <mergeCell ref="R61:S62"/>
    <mergeCell ref="C63:D64"/>
    <mergeCell ref="E63:E64"/>
    <mergeCell ref="F63:G64"/>
    <mergeCell ref="H63:I64"/>
    <mergeCell ref="J63:K64"/>
    <mergeCell ref="L63:M64"/>
    <mergeCell ref="N63:Q64"/>
    <mergeCell ref="R63:S64"/>
    <mergeCell ref="C65:D66"/>
    <mergeCell ref="E65:E66"/>
    <mergeCell ref="F65:G66"/>
    <mergeCell ref="H65:I66"/>
    <mergeCell ref="J65:K66"/>
    <mergeCell ref="L65:M66"/>
    <mergeCell ref="N65:Q66"/>
    <mergeCell ref="E77:J78"/>
    <mergeCell ref="K77:L78"/>
    <mergeCell ref="M77:O78"/>
    <mergeCell ref="F82:N82"/>
    <mergeCell ref="D91:Q91"/>
    <mergeCell ref="D92:Q92"/>
    <mergeCell ref="R65:S66"/>
    <mergeCell ref="E68:I69"/>
    <mergeCell ref="J68:K69"/>
    <mergeCell ref="J71:K71"/>
    <mergeCell ref="E73:O74"/>
    <mergeCell ref="E75:J76"/>
    <mergeCell ref="K75:L76"/>
    <mergeCell ref="M75:O76"/>
  </mergeCells>
  <dataValidations count="6">
    <dataValidation type="list" allowBlank="1" showInputMessage="1" showErrorMessage="1" sqref="X11:X12" xr:uid="{DC8D710C-DF60-4B6E-8C62-B5405C8A8977}">
      <formula1>TypologiesClient</formula1>
    </dataValidation>
    <dataValidation type="list" allowBlank="1" showInputMessage="1" showErrorMessage="1" sqref="S17:S18" xr:uid="{6966247B-8D00-429B-B06B-1EA1FCFE4EBD}">
      <formula1>"N,R,A + N,A + R"</formula1>
    </dataValidation>
    <dataValidation type="list" allowBlank="1" showInputMessage="1" showErrorMessage="1" sqref="C12" xr:uid="{02F32C07-1DD6-4A46-AC90-8CC119BA09E9}">
      <formula1>"Selon devis,Selon"</formula1>
    </dataValidation>
    <dataValidation type="list" allowBlank="1" showInputMessage="1" showErrorMessage="1" sqref="G22:H25 C17:C18" xr:uid="{7EB309F6-8192-4E7D-98DA-00F5F4BA5F28}">
      <formula1>DevisEtDMPs</formula1>
    </dataValidation>
    <dataValidation type="list" allowBlank="1" showInputMessage="1" showErrorMessage="1" sqref="R8:S8" xr:uid="{E8D9B6C5-1598-4CE7-9357-FFBB6915FD52}">
      <formula1>"1,2,3,Solde"</formula1>
    </dataValidation>
    <dataValidation type="list" allowBlank="1" showInputMessage="1" showErrorMessage="1" sqref="R6:S6" xr:uid="{066F714B-DAC7-450C-8E0E-FC382E6A1858}">
      <formula1>"40%,80%,90%,100%"</formula1>
    </dataValidation>
  </dataValidations>
  <hyperlinks>
    <hyperlink ref="E91:P92" r:id="rId1" display="Votre avis compte !" xr:uid="{D8054445-0EA9-4FFE-AA2B-446ED3CC159E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topLeftCell="T1" zoomScale="99" zoomScaleNormal="99" workbookViewId="0">
      <selection activeCell="T5" sqref="A5:XFD13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1" customWidth="1" outlineLevel="1"/>
    <col min="13" max="13" width="17.6640625" customWidth="1"/>
    <col min="14" max="14" width="17.6640625" style="63" customWidth="1" outlineLevel="1"/>
    <col min="15" max="16" width="17.6640625" customWidth="1" outlineLevel="1"/>
    <col min="17" max="17" width="17.6640625" style="63" customWidth="1" outlineLevel="1"/>
    <col min="18" max="19" width="17.6640625" customWidth="1" outlineLevel="1"/>
    <col min="20" max="20" width="17.6640625" style="63" customWidth="1" outlineLevel="1"/>
    <col min="21" max="21" width="17.6640625" customWidth="1" outlineLevel="1"/>
    <col min="22" max="22" width="17.6640625" customWidth="1"/>
    <col min="23" max="23" width="11.5546875" style="63" customWidth="1" outlineLevel="1"/>
    <col min="24" max="25" width="11.5546875" customWidth="1" outlineLevel="1"/>
    <col min="26" max="26" width="11.5546875" style="63" customWidth="1" outlineLevel="1"/>
    <col min="27" max="28" width="11.5546875" customWidth="1" outlineLevel="1"/>
    <col min="29" max="29" width="11.5546875" style="63" customWidth="1" outlineLevel="1"/>
    <col min="30" max="31" width="11.5546875" customWidth="1" outlineLevel="1"/>
    <col min="32" max="32" width="11.5546875" style="63" customWidth="1" outlineLevel="1"/>
    <col min="33" max="59" width="11.5546875" customWidth="1" outlineLevel="1"/>
  </cols>
  <sheetData>
    <row r="1" spans="1:59" s="1" customFormat="1" ht="28.8" customHeight="1" x14ac:dyDescent="0.3">
      <c r="A1" s="219" t="s">
        <v>14</v>
      </c>
      <c r="B1" s="219"/>
      <c r="C1" s="59" t="s">
        <v>2</v>
      </c>
      <c r="D1" s="59" t="s">
        <v>8</v>
      </c>
      <c r="E1" s="59" t="s">
        <v>0</v>
      </c>
      <c r="F1" s="59" t="s">
        <v>153</v>
      </c>
      <c r="G1" s="59" t="s">
        <v>1</v>
      </c>
      <c r="H1" s="59" t="s">
        <v>150</v>
      </c>
      <c r="I1" s="59" t="s">
        <v>152</v>
      </c>
      <c r="J1" s="62" t="s">
        <v>88</v>
      </c>
      <c r="K1" s="62" t="s">
        <v>148</v>
      </c>
      <c r="L1" s="62" t="s">
        <v>156</v>
      </c>
      <c r="M1" s="219" t="s">
        <v>139</v>
      </c>
      <c r="N1" s="219"/>
      <c r="O1" s="219"/>
      <c r="P1" s="219" t="s">
        <v>145</v>
      </c>
      <c r="Q1" s="219"/>
      <c r="R1" s="219"/>
      <c r="S1" s="219" t="s">
        <v>147</v>
      </c>
      <c r="T1" s="219"/>
      <c r="U1" s="219"/>
      <c r="V1" s="219" t="s">
        <v>140</v>
      </c>
      <c r="W1" s="219"/>
      <c r="X1" s="219"/>
      <c r="Y1" s="219" t="s">
        <v>143</v>
      </c>
      <c r="Z1" s="219"/>
      <c r="AA1" s="219"/>
      <c r="AB1" s="219" t="s">
        <v>141</v>
      </c>
      <c r="AC1" s="219"/>
      <c r="AD1" s="219"/>
      <c r="AE1" s="219" t="s">
        <v>142</v>
      </c>
      <c r="AF1" s="219"/>
      <c r="AG1" s="219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</row>
    <row r="2" spans="1:59" x14ac:dyDescent="0.3">
      <c r="A2" s="60">
        <v>571</v>
      </c>
      <c r="B2" t="s">
        <v>135</v>
      </c>
      <c r="I2"/>
      <c r="J2"/>
      <c r="K2"/>
      <c r="L2"/>
      <c r="N2"/>
      <c r="X2" s="63"/>
    </row>
    <row r="3" spans="1:59" ht="28.8" x14ac:dyDescent="0.3">
      <c r="A3" s="60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3">
        <v>44224</v>
      </c>
      <c r="N3">
        <v>44224</v>
      </c>
      <c r="O3">
        <v>110496.42</v>
      </c>
      <c r="P3" t="s">
        <v>144</v>
      </c>
      <c r="Q3" s="63">
        <v>44304</v>
      </c>
      <c r="R3">
        <v>20000</v>
      </c>
      <c r="S3" t="s">
        <v>146</v>
      </c>
      <c r="T3" s="63">
        <v>44304</v>
      </c>
      <c r="U3">
        <v>20000</v>
      </c>
      <c r="V3" t="s">
        <v>24</v>
      </c>
      <c r="W3" s="63">
        <v>44236</v>
      </c>
      <c r="X3">
        <v>1363.46</v>
      </c>
      <c r="Y3" s="59" t="s">
        <v>25</v>
      </c>
      <c r="Z3" s="63">
        <v>44236</v>
      </c>
      <c r="AA3">
        <v>1363.46</v>
      </c>
      <c r="AB3" t="s">
        <v>119</v>
      </c>
      <c r="AC3" s="63">
        <v>44236</v>
      </c>
      <c r="AD3">
        <v>1363.46</v>
      </c>
      <c r="AE3" t="s">
        <v>129</v>
      </c>
      <c r="AF3" s="63">
        <v>44236</v>
      </c>
      <c r="AG3">
        <v>1363.46</v>
      </c>
    </row>
    <row r="4" spans="1:59" x14ac:dyDescent="0.3">
      <c r="A4" s="60"/>
    </row>
    <row r="5" spans="1:59" x14ac:dyDescent="0.3">
      <c r="A5" s="60"/>
      <c r="C5" s="64"/>
    </row>
    <row r="6" spans="1:59" x14ac:dyDescent="0.3">
      <c r="A6" s="60"/>
      <c r="C6" s="59"/>
      <c r="D6" s="59"/>
      <c r="E6" s="59"/>
      <c r="F6" s="59"/>
      <c r="G6" s="59"/>
      <c r="H6" s="59"/>
      <c r="I6" s="59"/>
      <c r="J6" s="62"/>
      <c r="K6" s="62"/>
      <c r="L6" s="62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59"/>
      <c r="AF6" s="65"/>
      <c r="AG6" s="59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</row>
    <row r="7" spans="1:59" x14ac:dyDescent="0.3">
      <c r="A7" s="60"/>
      <c r="I7"/>
      <c r="J7"/>
      <c r="K7"/>
      <c r="L7"/>
      <c r="Y7" s="59"/>
    </row>
    <row r="8" spans="1:59" x14ac:dyDescent="0.3">
      <c r="A8" s="60"/>
      <c r="I8"/>
      <c r="J8"/>
      <c r="K8"/>
      <c r="L8"/>
      <c r="Y8" s="59"/>
    </row>
    <row r="9" spans="1:59" x14ac:dyDescent="0.3">
      <c r="A9" s="60"/>
      <c r="AI9" s="63"/>
      <c r="AL9" s="63"/>
      <c r="AO9" s="63"/>
    </row>
    <row r="10" spans="1:59" x14ac:dyDescent="0.3">
      <c r="A10" s="60"/>
    </row>
    <row r="11" spans="1:59" x14ac:dyDescent="0.3">
      <c r="A11" s="60"/>
    </row>
    <row r="12" spans="1:59" x14ac:dyDescent="0.3">
      <c r="A12" s="60"/>
    </row>
    <row r="13" spans="1:59" x14ac:dyDescent="0.3">
      <c r="A13" s="60"/>
    </row>
    <row r="14" spans="1:59" x14ac:dyDescent="0.3">
      <c r="A14" s="60"/>
    </row>
    <row r="15" spans="1:59" x14ac:dyDescent="0.3">
      <c r="A15" s="60"/>
    </row>
    <row r="16" spans="1:59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  <row r="6524" spans="1:1" x14ac:dyDescent="0.3">
      <c r="A6524" s="60"/>
    </row>
    <row r="6525" spans="1:1" x14ac:dyDescent="0.3">
      <c r="A6525" s="60"/>
    </row>
    <row r="6526" spans="1:1" x14ac:dyDescent="0.3">
      <c r="A6526" s="60"/>
    </row>
    <row r="6527" spans="1:1" x14ac:dyDescent="0.3">
      <c r="A6527" s="60"/>
    </row>
    <row r="6528" spans="1:1" x14ac:dyDescent="0.3">
      <c r="A6528" s="60"/>
    </row>
    <row r="6529" spans="1:1" x14ac:dyDescent="0.3">
      <c r="A6529" s="60"/>
    </row>
    <row r="6530" spans="1:1" x14ac:dyDescent="0.3">
      <c r="A6530" s="60"/>
    </row>
    <row r="6531" spans="1:1" x14ac:dyDescent="0.3">
      <c r="A6531" s="60"/>
    </row>
    <row r="6532" spans="1:1" x14ac:dyDescent="0.3">
      <c r="A6532" s="60"/>
    </row>
    <row r="6533" spans="1:1" x14ac:dyDescent="0.3">
      <c r="A6533" s="60"/>
    </row>
    <row r="6534" spans="1:1" x14ac:dyDescent="0.3">
      <c r="A6534" s="60"/>
    </row>
    <row r="6535" spans="1:1" x14ac:dyDescent="0.3">
      <c r="A6535" s="60"/>
    </row>
    <row r="6536" spans="1:1" x14ac:dyDescent="0.3">
      <c r="A6536" s="60"/>
    </row>
    <row r="6537" spans="1:1" x14ac:dyDescent="0.3">
      <c r="A6537" s="60"/>
    </row>
    <row r="6538" spans="1:1" x14ac:dyDescent="0.3">
      <c r="A6538" s="60"/>
    </row>
    <row r="6539" spans="1:1" x14ac:dyDescent="0.3">
      <c r="A6539" s="60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158</vt:i4>
      </vt:variant>
    </vt:vector>
  </HeadingPairs>
  <TitlesOfParts>
    <vt:vector size="164" baseType="lpstr">
      <vt:lpstr>template</vt:lpstr>
      <vt:lpstr>new facture</vt:lpstr>
      <vt:lpstr>new facture 2</vt:lpstr>
      <vt:lpstr>Service course</vt:lpstr>
      <vt:lpstr>Cocoon</vt:lpstr>
      <vt:lpstr>informations enregistrées</vt:lpstr>
      <vt:lpstr>Cocoon!AggregationMontantsDevisTTC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Cocoon!ArticlesListingHeader</vt:lpstr>
      <vt:lpstr>'new facture'!ArticlesListingHeader</vt:lpstr>
      <vt:lpstr>'new facture 2'!ArticlesListingHeader</vt:lpstr>
      <vt:lpstr>'Service course'!ArticlesListingHeader</vt:lpstr>
      <vt:lpstr>ArticlesListingHeader</vt:lpstr>
      <vt:lpstr>Cocoon!ClientDetails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Cocoon!CodesTVA</vt:lpstr>
      <vt:lpstr>'new facture'!CodesTVA</vt:lpstr>
      <vt:lpstr>'new facture 2'!CodesTVA</vt:lpstr>
      <vt:lpstr>'Service course'!CodesTVA</vt:lpstr>
      <vt:lpstr>CodesTVA</vt:lpstr>
      <vt:lpstr>Cocoon!DevisEtDMPRecap</vt:lpstr>
      <vt:lpstr>'new facture'!DevisEtDMPRecap</vt:lpstr>
      <vt:lpstr>'new facture 2'!DevisEtDMPRecap</vt:lpstr>
      <vt:lpstr>'Service course'!DevisEtDMPRecap</vt:lpstr>
      <vt:lpstr>DevisEtDMPRecap</vt:lpstr>
      <vt:lpstr>Cocoon!DevisEtDMPs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Cocoon!Impression_des_titres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Cocoon!InvoiceDetails</vt:lpstr>
      <vt:lpstr>'new facture'!InvoiceDetails</vt:lpstr>
      <vt:lpstr>'new facture 2'!InvoiceDetails</vt:lpstr>
      <vt:lpstr>'Service course'!InvoiceDetails</vt:lpstr>
      <vt:lpstr>InvoiceDetails</vt:lpstr>
      <vt:lpstr>Cocoon!invoiceNumber</vt:lpstr>
      <vt:lpstr>'new facture'!invoiceNumber</vt:lpstr>
      <vt:lpstr>'new facture 2'!invoiceNumber</vt:lpstr>
      <vt:lpstr>'Service course'!invoiceNumber</vt:lpstr>
      <vt:lpstr>invoiceNumber</vt:lpstr>
      <vt:lpstr>Cocoon!MontantsArticlesHT</vt:lpstr>
      <vt:lpstr>'new facture'!MontantsArticlesHT</vt:lpstr>
      <vt:lpstr>'new facture 2'!MontantsArticlesHT</vt:lpstr>
      <vt:lpstr>'Service course'!MontantsArticlesHT</vt:lpstr>
      <vt:lpstr>MontantsArticlesHT</vt:lpstr>
      <vt:lpstr>Cocoon!MontantsFacturesAppeles</vt:lpstr>
      <vt:lpstr>'new facture'!MontantsFacturesAppeles</vt:lpstr>
      <vt:lpstr>'new facture 2'!MontantsFacturesAppeles</vt:lpstr>
      <vt:lpstr>'Service course'!MontantsFacturesAppeles</vt:lpstr>
      <vt:lpstr>MontantsFacturesAppeles</vt:lpstr>
      <vt:lpstr>Cocoon!MontantsPayesSurFacturesAppeles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Cocoon!MontantsTTCAppeles</vt:lpstr>
      <vt:lpstr>'new facture'!MontantsTTCAppeles</vt:lpstr>
      <vt:lpstr>'new facture 2'!MontantsTTCAppeles</vt:lpstr>
      <vt:lpstr>'Service course'!MontantsTTCAppeles</vt:lpstr>
      <vt:lpstr>MontantsTTCAppeles</vt:lpstr>
      <vt:lpstr>Cocoon!MontantsTVAAppeles</vt:lpstr>
      <vt:lpstr>'new facture'!MontantsTVAAppeles</vt:lpstr>
      <vt:lpstr>'new facture 2'!MontantsTVAAppeles</vt:lpstr>
      <vt:lpstr>'Service course'!MontantsTVAAppeles</vt:lpstr>
      <vt:lpstr>MontantsTVAAppeles</vt:lpstr>
      <vt:lpstr>Cocoon!MontantTotalTVAN</vt:lpstr>
      <vt:lpstr>'new facture'!MontantTotalTVAN</vt:lpstr>
      <vt:lpstr>'new facture 2'!MontantTotalTVAN</vt:lpstr>
      <vt:lpstr>'Service course'!MontantTotalTVAN</vt:lpstr>
      <vt:lpstr>MontantTotalTVAN</vt:lpstr>
      <vt:lpstr>Cocoon!MontantTotalTVAR</vt:lpstr>
      <vt:lpstr>'new facture'!MontantTotalTVAR</vt:lpstr>
      <vt:lpstr>'new facture 2'!MontantTotalTVAR</vt:lpstr>
      <vt:lpstr>'Service course'!MontantTotalTVAR</vt:lpstr>
      <vt:lpstr>MontantTotalTVAR</vt:lpstr>
      <vt:lpstr>Cocoon!recapPosition</vt:lpstr>
      <vt:lpstr>'new facture'!recapPosition</vt:lpstr>
      <vt:lpstr>'new facture 2'!recapPosition</vt:lpstr>
      <vt:lpstr>'Service course'!recapPosition</vt:lpstr>
      <vt:lpstr>recapPosition</vt:lpstr>
      <vt:lpstr>Cocoon!RefsDevisEtDMP</vt:lpstr>
      <vt:lpstr>'new facture'!RefsDevisEtDMP</vt:lpstr>
      <vt:lpstr>'new facture 2'!RefsDevisEtDMP</vt:lpstr>
      <vt:lpstr>'Service course'!RefsDevisEtDMP</vt:lpstr>
      <vt:lpstr>RefsDevisEtDMP</vt:lpstr>
      <vt:lpstr>Cocoon!RestantsDusSurFacturesAppeles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Cocoon!TauxTVAAppeles</vt:lpstr>
      <vt:lpstr>'new facture'!TauxTVAAppeles</vt:lpstr>
      <vt:lpstr>'new facture 2'!TauxTVAAppeles</vt:lpstr>
      <vt:lpstr>'Service course'!TauxTVAAppeles</vt:lpstr>
      <vt:lpstr>TauxTVAAppeles</vt:lpstr>
      <vt:lpstr>Cocoon!TaxeAmeublementExiste</vt:lpstr>
      <vt:lpstr>'new facture'!TaxeAmeublementExiste</vt:lpstr>
      <vt:lpstr>'new facture 2'!TaxeAmeublementExiste</vt:lpstr>
      <vt:lpstr>'Service course'!TaxeAmeublementExiste</vt:lpstr>
      <vt:lpstr>TaxeAmeublementExiste</vt:lpstr>
      <vt:lpstr>Cocoon!TaxeAmeublementN</vt:lpstr>
      <vt:lpstr>'new facture'!TaxeAmeublementN</vt:lpstr>
      <vt:lpstr>'new facture 2'!TaxeAmeublementN</vt:lpstr>
      <vt:lpstr>'Service course'!TaxeAmeublementN</vt:lpstr>
      <vt:lpstr>TaxeAmeublementN</vt:lpstr>
      <vt:lpstr>Cocoon!TaxeAmeublementR</vt:lpstr>
      <vt:lpstr>'new facture'!TaxeAmeublementR</vt:lpstr>
      <vt:lpstr>'new facture 2'!TaxeAmeublementR</vt:lpstr>
      <vt:lpstr>'Service course'!TaxeAmeublementR</vt:lpstr>
      <vt:lpstr>TaxeAmeublementR</vt:lpstr>
      <vt:lpstr>Cocoon!TotalTaxeAmeublement</vt:lpstr>
      <vt:lpstr>'new facture'!TotalTaxeAmeublement</vt:lpstr>
      <vt:lpstr>'new facture 2'!TotalTaxeAmeublement</vt:lpstr>
      <vt:lpstr>'Service course'!TotalTaxeAmeublement</vt:lpstr>
      <vt:lpstr>TotalTaxeAmeublement</vt:lpstr>
      <vt:lpstr>Cocoon!TotalTaxeDAmeublementFacture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Cocoon!TotalTTCFacture</vt:lpstr>
      <vt:lpstr>'new facture'!TotalTTCFacture</vt:lpstr>
      <vt:lpstr>'new facture 2'!TotalTTCFacture</vt:lpstr>
      <vt:lpstr>'Service course'!TotalTTCFacture</vt:lpstr>
      <vt:lpstr>TotalTTCFacture</vt:lpstr>
      <vt:lpstr>Cocoon!TVANExiste</vt:lpstr>
      <vt:lpstr>'new facture'!TVANExiste</vt:lpstr>
      <vt:lpstr>'new facture 2'!TVANExiste</vt:lpstr>
      <vt:lpstr>'Service course'!TVANExiste</vt:lpstr>
      <vt:lpstr>TVANExiste</vt:lpstr>
      <vt:lpstr>Cocoon!TVARExiste</vt:lpstr>
      <vt:lpstr>'new facture'!TVARExiste</vt:lpstr>
      <vt:lpstr>'new facture 2'!TVARExiste</vt:lpstr>
      <vt:lpstr>'Service course'!TVARExiste</vt:lpstr>
      <vt:lpstr>TVARExiste</vt:lpstr>
      <vt:lpstr>Cocoon!TypologiesClient</vt:lpstr>
      <vt:lpstr>'new facture'!TypologiesClient</vt:lpstr>
      <vt:lpstr>'new facture 2'!TypologiesClient</vt:lpstr>
      <vt:lpstr>'Service course'!TypologiesClient</vt:lpstr>
      <vt:lpstr>TypologiesClient</vt:lpstr>
      <vt:lpstr>Cocoon!UniqueRefDevisEtDMPs</vt:lpstr>
      <vt:lpstr>'new facture'!UniqueRefDevisEtDMPs</vt:lpstr>
      <vt:lpstr>'new facture 2'!UniqueRefDevisEtDMPs</vt:lpstr>
      <vt:lpstr>'Service course'!UniqueRefDevisEtDMPs</vt:lpstr>
      <vt:lpstr>UniqueRefDevisEtDMPs</vt:lpstr>
      <vt:lpstr>Cocoon!Zone_d_impression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2021-04-26T00:12:50Z</dcterms:modified>
</cp:coreProperties>
</file>