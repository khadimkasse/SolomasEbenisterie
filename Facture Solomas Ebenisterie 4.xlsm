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"/>
    </mc:Choice>
  </mc:AlternateContent>
  <xr:revisionPtr revIDLastSave="0" documentId="13_ncr:1_{61952D4A-46AC-426B-8EA9-A3993877B9CC}" xr6:coauthVersionLast="46" xr6:coauthVersionMax="46" xr10:uidLastSave="{00000000-0000-0000-0000-000000000000}"/>
  <bookViews>
    <workbookView xWindow="28680" yWindow="-120" windowWidth="57840" windowHeight="23640" xr2:uid="{8B6A4945-F337-4B53-96DE-6F2C69F64790}"/>
  </bookViews>
  <sheets>
    <sheet name="template" sheetId="1" r:id="rId1"/>
    <sheet name="informations enregistrées" sheetId="2" r:id="rId2"/>
  </sheets>
  <definedNames>
    <definedName name="ArticlesListingHeader">template!$C$17:$S$19</definedName>
    <definedName name="ClientDetails">template!$H$1:$M$10</definedName>
    <definedName name="CodesTVA">template!$S$20:$S$42</definedName>
    <definedName name="DevisEtDMPRecap">template!$D$91:$D$93</definedName>
    <definedName name="DevisEtDMPs">template!$D$12:$D$15</definedName>
    <definedName name="_xlnm.Print_Titles" localSheetId="0">template!$1:$10</definedName>
    <definedName name="InvoiceDetails">template!$P$5:$S$10</definedName>
    <definedName name="MontantsArticlesHT">template!$R$20:$R$42</definedName>
    <definedName name="MontantsFacturesAppeles">template!$H$97:$I$102</definedName>
    <definedName name="MontantsPayesSurFacturesAppeles">template!$J$97:$K$102</definedName>
    <definedName name="MontantsTTCAppeles">template!$N$46:$O$55</definedName>
    <definedName name="MontantsTVAAppeles">template!$L$46:$M$55</definedName>
    <definedName name="MontantTotalTVAN">template!$AA$7</definedName>
    <definedName name="MontantTotalTVAR">template!$AA$17</definedName>
    <definedName name="recapPosition">template!$C$84</definedName>
    <definedName name="RefsDevisEtDMP">template!$C$20:$C$42</definedName>
    <definedName name="RestantsDusSurFacturesAppeles">template!$R$97:$S$102</definedName>
    <definedName name="TauxTVAAppeles">template!$K$46:$K$55</definedName>
    <definedName name="TaxeAmeublementExiste">template!$AA$11</definedName>
    <definedName name="TaxeAmeublementN">template!$AA$28:$AA$31</definedName>
    <definedName name="TaxeAmeublementR">template!$AB$28:$AB$31</definedName>
    <definedName name="TotalTaxeAmeublement">template!$AA$12</definedName>
    <definedName name="TotalTTCFacture">template!$L$57</definedName>
    <definedName name="TVANExiste">template!$AA$6</definedName>
    <definedName name="TVARExiste">template!$AA$16</definedName>
    <definedName name="UniqueRefDevisEtDMPs">template!$Z$28:$Z$31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32" i="1" l="1"/>
  <c r="AB32" i="1"/>
  <c r="Z28" i="1" a="1"/>
  <c r="Z28" i="1" s="1"/>
  <c r="J104" i="1" l="1"/>
  <c r="AB31" i="1"/>
  <c r="AA31" i="1"/>
  <c r="AB30" i="1"/>
  <c r="AA30" i="1"/>
  <c r="AB29" i="1"/>
  <c r="AA29" i="1"/>
  <c r="AA16" i="1"/>
  <c r="AA12" i="1"/>
  <c r="AA11" i="1"/>
  <c r="AA6" i="1"/>
  <c r="K55" i="1" l="1"/>
  <c r="I55" i="1"/>
  <c r="L55" i="1" s="1"/>
  <c r="K54" i="1"/>
  <c r="I54" i="1"/>
  <c r="K52" i="1"/>
  <c r="K50" i="1"/>
  <c r="K48" i="1"/>
  <c r="H59" i="1"/>
  <c r="K46" i="1"/>
  <c r="H61" i="1"/>
  <c r="AB46" i="1"/>
  <c r="AC46" i="1"/>
  <c r="AC45" i="1" s="1"/>
  <c r="K53" i="1"/>
  <c r="K51" i="1"/>
  <c r="K49" i="1"/>
  <c r="K47" i="1"/>
  <c r="H60" i="1"/>
  <c r="L54" i="1" l="1"/>
  <c r="N54" i="1" s="1"/>
  <c r="H93" i="1"/>
  <c r="F93" i="1"/>
  <c r="D93" i="1"/>
  <c r="C93" i="1"/>
  <c r="AA92" i="1"/>
  <c r="Z92" i="1"/>
  <c r="AB39" i="1"/>
  <c r="AA39" i="1"/>
  <c r="Z39" i="1"/>
  <c r="AB28" i="1" l="1"/>
  <c r="AA17" i="1" s="1"/>
  <c r="AA28" i="1"/>
  <c r="AA7" i="1" s="1"/>
  <c r="I50" i="1"/>
  <c r="L50" i="1" s="1"/>
  <c r="I52" i="1"/>
  <c r="L52" i="1" s="1"/>
  <c r="I49" i="1"/>
  <c r="L49" i="1" s="1"/>
  <c r="I51" i="1"/>
  <c r="L51" i="1" s="1"/>
  <c r="I48" i="1"/>
  <c r="L48" i="1" s="1"/>
  <c r="I47" i="1"/>
  <c r="L47" i="1" s="1"/>
  <c r="I53" i="1"/>
  <c r="L53" i="1" s="1"/>
  <c r="AD35" i="1"/>
  <c r="AC35" i="1"/>
  <c r="AB35" i="1"/>
  <c r="AA35" i="1"/>
  <c r="Z35" i="1"/>
  <c r="R84" i="1"/>
  <c r="I46" i="1" l="1"/>
  <c r="L46" i="1" s="1"/>
  <c r="L59" i="1" s="1"/>
  <c r="AC47" i="1"/>
  <c r="AC48" i="1" s="1"/>
  <c r="L60" i="1"/>
  <c r="L61" i="1"/>
  <c r="H92" i="1"/>
  <c r="H91" i="1"/>
  <c r="H90" i="1"/>
  <c r="F92" i="1"/>
  <c r="F91" i="1"/>
  <c r="F90" i="1"/>
  <c r="D92" i="1"/>
  <c r="D91" i="1"/>
  <c r="D90" i="1"/>
  <c r="C92" i="1"/>
  <c r="C91" i="1"/>
  <c r="C90" i="1"/>
  <c r="N52" i="1" l="1"/>
  <c r="N50" i="1"/>
  <c r="W6" i="1" a="1"/>
  <c r="W6" i="1" s="1"/>
  <c r="G15" i="2" l="1"/>
  <c r="H15" i="2"/>
  <c r="H14" i="2"/>
  <c r="G14" i="2"/>
  <c r="H7" i="2"/>
  <c r="H10" i="2"/>
  <c r="H8" i="2"/>
  <c r="H6" i="2"/>
  <c r="E10" i="2"/>
  <c r="E7" i="2"/>
  <c r="E6" i="2"/>
  <c r="R9" i="1"/>
  <c r="R85" i="1" s="1"/>
  <c r="C83" i="1" l="1"/>
  <c r="H57" i="1"/>
  <c r="N46" i="1" l="1"/>
  <c r="N48" i="1"/>
  <c r="L57" i="1" l="1"/>
  <c r="AC49" i="1"/>
  <c r="AC52" i="1"/>
  <c r="H101" i="1" l="1"/>
  <c r="AC50" i="1"/>
  <c r="J10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<sst xmlns="http://schemas.openxmlformats.org/spreadsheetml/2006/main" count="241" uniqueCount="165">
  <si>
    <t xml:space="preserve">Adresse de Facturation </t>
  </si>
  <si>
    <t>Adresse 1</t>
  </si>
  <si>
    <t xml:space="preserve">Adresse 2 </t>
  </si>
  <si>
    <t>Code postal VILLE</t>
  </si>
  <si>
    <t>Nom société</t>
  </si>
  <si>
    <t>23 Rue du client, 06310 Saint André de la Roche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</si>
  <si>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</si>
  <si>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</si>
  <si>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</si>
  <si>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</si>
  <si>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</si>
  <si>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</si>
  <si>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</si>
  <si>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</si>
  <si>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</si>
  <si>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</si>
  <si>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</si>
  <si>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</si>
  <si>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FC-2021</t>
  </si>
  <si>
    <t>Numéro de la facture</t>
  </si>
  <si>
    <t>D-201107-2</t>
  </si>
  <si>
    <t>du : 28/01/2021</t>
  </si>
  <si>
    <t>Montant T.T.C : 110 496,42€ T.T.C</t>
  </si>
  <si>
    <t>du : 9/02/2021</t>
  </si>
  <si>
    <t>Montant T.T.C : 1 363,46€ T.T.C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</si>
  <si>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</si>
  <si>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</si>
  <si>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</si>
  <si>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</si>
  <si>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</si>
  <si>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</si>
  <si>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</si>
  <si>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</si>
  <si>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</si>
  <si>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</si>
  <si>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</si>
  <si>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</si>
  <si>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</si>
  <si>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</si>
  <si>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</si>
  <si>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</si>
  <si>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</si>
  <si>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</si>
  <si>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</si>
  <si>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</si>
  <si>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</si>
  <si>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</si>
  <si>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</si>
  <si>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</si>
  <si>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</si>
  <si>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</si>
  <si>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</si>
  <si>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</si>
  <si>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</si>
  <si>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</si>
  <si>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</si>
  <si>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</si>
  <si>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</si>
  <si>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</si>
  <si>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</si>
  <si>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</si>
  <si>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</si>
  <si>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</si>
  <si>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</si>
  <si>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</si>
  <si>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</si>
  <si>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</si>
  <si>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</si>
  <si>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</si>
  <si>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</si>
  <si>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</si>
  <si>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</si>
  <si>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</si>
  <si>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</si>
  <si>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A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</si>
  <si>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</si>
  <si>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</si>
  <si>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</si>
  <si>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</si>
  <si>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</si>
  <si>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</si>
  <si>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</si>
  <si>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</si>
  <si>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</si>
  <si>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</si>
  <si>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</si>
  <si>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 xml:space="preserve">Adresse de livraison 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</si>
  <si>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</si>
  <si>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</si>
  <si>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</si>
  <si>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</si>
  <si>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</si>
  <si>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</si>
  <si>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</si>
  <si>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</si>
  <si>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</si>
  <si>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</si>
  <si>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</si>
  <si>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>Hors taxe Nadine</t>
  </si>
  <si>
    <t>année 1</t>
  </si>
  <si>
    <t>année 2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</si>
  <si>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</si>
  <si>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</si>
  <si>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</si>
  <si>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</si>
  <si>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</si>
  <si>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</si>
  <si>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</si>
  <si>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</si>
  <si>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</si>
  <si>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</si>
  <si>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</si>
  <si>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</si>
  <si>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</si>
  <si>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</si>
  <si>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</si>
  <si>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</si>
  <si>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</si>
  <si>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</si>
  <si>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</si>
  <si>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</si>
  <si>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</si>
  <si>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</si>
  <si>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</si>
  <si>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Enregistrer les info utiles lorsqu'on valide la facture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</si>
  <si>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</si>
  <si>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</si>
  <si>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</si>
  <si>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</si>
  <si>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Samedi 03/04</t>
  </si>
  <si>
    <t>TVA</t>
  </si>
  <si>
    <t>Références de la taxe d'ameublement</t>
  </si>
  <si>
    <t>Devis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</si>
  <si>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</si>
  <si>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</si>
  <si>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</si>
  <si>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</si>
  <si>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</si>
  <si>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$Z$28:$AA$31</t>
  </si>
  <si>
    <t>$AB$28:$AB$31</t>
  </si>
  <si>
    <t>$AC$28:$AC$31</t>
  </si>
  <si>
    <t>Insérer le logo en filligranne</t>
  </si>
  <si>
    <t>Références du tableau "Articles"</t>
  </si>
  <si>
    <t>Références du tableau "Appel de fond"</t>
  </si>
  <si>
    <t>Références du tableau "Facture d'acomptes"</t>
  </si>
  <si>
    <t>$K$45:$K$52</t>
  </si>
  <si>
    <t>$L$45:$M$52</t>
  </si>
  <si>
    <t>$N$45:$O$52</t>
  </si>
  <si>
    <t xml:space="preserve">Cellules à choix multiples pour dire que les devis doivent nécessairement venir du haut </t>
  </si>
  <si>
    <t>Selon</t>
  </si>
  <si>
    <t>Selon devis</t>
  </si>
  <si>
    <t>$H$94:$I$99</t>
  </si>
  <si>
    <t>$R$94:$S$99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</si>
  <si>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</si>
  <si>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</si>
  <si>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</si>
  <si>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</si>
  <si>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CHR</t>
  </si>
  <si>
    <t>Typologie client</t>
  </si>
  <si>
    <t>$C$20:$C$45</t>
  </si>
  <si>
    <t>$D$20:$D$45</t>
  </si>
  <si>
    <t>$E$20:$Q$45</t>
  </si>
  <si>
    <t>$R$20:$R$45</t>
  </si>
  <si>
    <t>$S$20:$S$45</t>
  </si>
  <si>
    <t>Gérer l'exception si pas de page de récapitulatif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</si>
</sst>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#,##0.0\ &quot;€&quot;"/>
    <numFmt numFmtId="166" formatCode="#,##0.00\ &quot;€&quot;\ &quot;**&quot;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u/>
      <sz val="11"/>
      <color theme="10"/>
      <name val="Calibri"/>
      <family val="2"/>
      <scheme val="minor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color rgb="FFFF0000"/>
      <name val="Raleway"/>
    </font>
  </fonts>
  <fills count="13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12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14" xfId="0" applyFont="1" applyBorder="1"/>
    <xf numFmtId="0" fontId="1" fillId="0" borderId="15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9" fontId="0" fillId="0" borderId="0" xfId="0" applyNumberFormat="1"/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10" fillId="6" borderId="31" xfId="0" applyFont="1" applyFill="1" applyBorder="1"/>
    <xf numFmtId="165" fontId="10" fillId="6" borderId="31" xfId="0" applyNumberFormat="1" applyFont="1" applyFill="1" applyBorder="1"/>
    <xf numFmtId="0" fontId="10" fillId="5" borderId="28" xfId="0" applyFont="1" applyFill="1" applyBorder="1"/>
    <xf numFmtId="165" fontId="10" fillId="5" borderId="28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19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4" fontId="1" fillId="0" borderId="15" xfId="0" applyNumberFormat="1" applyFont="1" applyBorder="1"/>
    <xf numFmtId="0" fontId="10" fillId="6" borderId="31" xfId="0" applyFont="1" applyFill="1" applyBorder="1" applyAlignment="1">
      <alignment horizontal="right"/>
    </xf>
    <xf numFmtId="0" fontId="10" fillId="5" borderId="28" xfId="0" applyFont="1" applyFill="1" applyBorder="1" applyAlignment="1">
      <alignment horizontal="right"/>
    </xf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top"/>
    </xf>
    <xf numFmtId="4" fontId="1" fillId="0" borderId="23" xfId="0" applyNumberFormat="1" applyFont="1" applyBorder="1"/>
    <xf numFmtId="0" fontId="1" fillId="7" borderId="24" xfId="0" applyFont="1" applyFill="1" applyBorder="1" applyAlignment="1">
      <alignment horizontal="center" vertical="center" wrapText="1"/>
    </xf>
    <xf numFmtId="0" fontId="1" fillId="7" borderId="34" xfId="0" applyFont="1" applyFill="1" applyBorder="1" applyAlignment="1">
      <alignment horizontal="center" vertical="center" wrapText="1"/>
    </xf>
    <xf numFmtId="0" fontId="1" fillId="7" borderId="33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center"/>
    </xf>
    <xf numFmtId="0" fontId="1" fillId="0" borderId="25" xfId="0" applyFont="1" applyBorder="1" applyAlignment="1">
      <alignment horizontal="right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Border="1"/>
    <xf numFmtId="0" fontId="10" fillId="6" borderId="31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0" fontId="17" fillId="0" borderId="0" xfId="0" applyFont="1" applyAlignment="1">
      <alignment horizontal="right"/>
    </xf>
    <xf numFmtId="0" fontId="18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center"/>
    </xf>
    <xf numFmtId="0" fontId="1" fillId="0" borderId="0" xfId="0" quotePrefix="1" applyFont="1"/>
    <xf numFmtId="0" fontId="1" fillId="0" borderId="33" xfId="0" applyFont="1" applyBorder="1" applyAlignment="1"/>
    <xf numFmtId="0" fontId="1" fillId="4" borderId="19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0" fontId="1" fillId="7" borderId="33" xfId="0" applyFont="1" applyFill="1" applyBorder="1"/>
    <xf numFmtId="164" fontId="22" fillId="0" borderId="0" xfId="0" applyNumberFormat="1" applyFont="1"/>
    <xf numFmtId="0" fontId="1" fillId="8" borderId="14" xfId="0" applyFont="1" applyFill="1" applyBorder="1" applyAlignment="1">
      <alignment horizontal="right"/>
    </xf>
    <xf numFmtId="0" fontId="1" fillId="0" borderId="0" xfId="0" applyFont="1"/>
    <xf numFmtId="0" fontId="1" fillId="4" borderId="19" xfId="0" applyFont="1" applyFill="1" applyBorder="1" applyAlignment="1">
      <alignment horizontal="center" vertical="center"/>
    </xf>
    <xf numFmtId="0" fontId="23" fillId="0" borderId="0" xfId="0" applyFont="1"/>
    <xf numFmtId="0" fontId="24" fillId="0" borderId="0" xfId="0" applyFont="1"/>
    <xf numFmtId="0" fontId="25" fillId="0" borderId="0" xfId="0" applyFont="1"/>
    <xf numFmtId="0" fontId="1" fillId="7" borderId="33" xfId="0" applyFont="1" applyFill="1" applyBorder="1" applyAlignment="1"/>
    <xf numFmtId="0" fontId="13" fillId="0" borderId="15" xfId="0" applyFont="1" applyBorder="1"/>
    <xf numFmtId="0" fontId="13" fillId="0" borderId="25" xfId="0" applyFont="1" applyBorder="1"/>
    <xf numFmtId="0" fontId="13" fillId="0" borderId="33" xfId="0" applyFont="1" applyBorder="1"/>
    <xf numFmtId="0" fontId="13" fillId="0" borderId="23" xfId="0" applyFont="1" applyBorder="1"/>
    <xf numFmtId="0" fontId="1" fillId="8" borderId="14" xfId="0" applyFont="1" applyFill="1" applyBorder="1" applyAlignment="1"/>
    <xf numFmtId="9" fontId="1" fillId="4" borderId="17" xfId="0" applyNumberFormat="1" applyFont="1" applyFill="1" applyBorder="1" applyAlignment="1">
      <alignment horizontal="center" vertical="center"/>
    </xf>
    <xf numFmtId="9" fontId="1" fillId="4" borderId="19" xfId="0" applyNumberFormat="1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164" fontId="13" fillId="4" borderId="17" xfId="0" applyNumberFormat="1" applyFont="1" applyFill="1" applyBorder="1" applyAlignment="1">
      <alignment horizontal="center"/>
    </xf>
    <xf numFmtId="164" fontId="13" fillId="4" borderId="18" xfId="0" applyNumberFormat="1" applyFont="1" applyFill="1" applyBorder="1" applyAlignment="1">
      <alignment horizontal="center"/>
    </xf>
    <xf numFmtId="164" fontId="1" fillId="4" borderId="17" xfId="0" applyNumberFormat="1" applyFont="1" applyFill="1" applyBorder="1" applyAlignment="1">
      <alignment horizontal="center"/>
    </xf>
    <xf numFmtId="164" fontId="1" fillId="4" borderId="18" xfId="0" applyNumberFormat="1" applyFont="1" applyFill="1" applyBorder="1" applyAlignment="1">
      <alignment horizontal="center"/>
    </xf>
    <xf numFmtId="164" fontId="7" fillId="4" borderId="17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7" fillId="4" borderId="19" xfId="0" applyNumberFormat="1" applyFont="1" applyFill="1" applyBorder="1" applyAlignment="1">
      <alignment horizontal="center" vertical="center"/>
    </xf>
    <xf numFmtId="164" fontId="7" fillId="4" borderId="20" xfId="0" applyNumberFormat="1" applyFont="1" applyFill="1" applyBorder="1" applyAlignment="1">
      <alignment horizontal="center" vertical="center"/>
    </xf>
    <xf numFmtId="164" fontId="1" fillId="4" borderId="19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0" fontId="10" fillId="6" borderId="29" xfId="0" applyFont="1" applyFill="1" applyBorder="1"/>
    <xf numFmtId="0" fontId="10" fillId="6" borderId="21" xfId="0" applyFont="1" applyFill="1" applyBorder="1"/>
    <xf numFmtId="0" fontId="10" fillId="6" borderId="30" xfId="0" applyFont="1" applyFill="1" applyBorder="1"/>
    <xf numFmtId="0" fontId="1" fillId="0" borderId="0" xfId="0" applyFont="1" applyAlignment="1">
      <alignment horizontal="left"/>
    </xf>
    <xf numFmtId="0" fontId="1" fillId="0" borderId="0" xfId="0" applyFont="1"/>
    <xf numFmtId="164" fontId="7" fillId="5" borderId="17" xfId="0" applyNumberFormat="1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9" xfId="0" applyNumberFormat="1" applyFont="1" applyFill="1" applyBorder="1" applyAlignment="1">
      <alignment horizontal="center" vertical="center"/>
    </xf>
    <xf numFmtId="164" fontId="7" fillId="5" borderId="20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10" fillId="5" borderId="29" xfId="0" applyFont="1" applyFill="1" applyBorder="1"/>
    <xf numFmtId="0" fontId="10" fillId="5" borderId="21" xfId="0" applyFont="1" applyFill="1" applyBorder="1"/>
    <xf numFmtId="0" fontId="10" fillId="5" borderId="30" xfId="0" applyFont="1" applyFill="1" applyBorder="1"/>
    <xf numFmtId="0" fontId="10" fillId="6" borderId="35" xfId="0" applyFont="1" applyFill="1" applyBorder="1"/>
    <xf numFmtId="0" fontId="10" fillId="6" borderId="32" xfId="0" applyFont="1" applyFill="1" applyBorder="1"/>
    <xf numFmtId="0" fontId="10" fillId="6" borderId="37" xfId="0" applyFont="1" applyFill="1" applyBorder="1"/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0" fontId="1" fillId="11" borderId="24" xfId="0" applyFont="1" applyFill="1" applyBorder="1" applyAlignment="1">
      <alignment horizontal="center" vertical="center" wrapText="1"/>
    </xf>
    <xf numFmtId="0" fontId="1" fillId="11" borderId="34" xfId="0" applyFont="1" applyFill="1" applyBorder="1" applyAlignment="1">
      <alignment horizontal="center" vertical="center" wrapText="1"/>
    </xf>
    <xf numFmtId="0" fontId="1" fillId="11" borderId="25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wrapText="1"/>
    </xf>
    <xf numFmtId="0" fontId="1" fillId="7" borderId="26" xfId="0" applyFont="1" applyFill="1" applyBorder="1" applyAlignment="1">
      <alignment horizontal="center" wrapText="1"/>
    </xf>
    <xf numFmtId="0" fontId="1" fillId="7" borderId="13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 wrapText="1"/>
    </xf>
    <xf numFmtId="0" fontId="1" fillId="7" borderId="27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4" fillId="3" borderId="6" xfId="0" applyFont="1" applyFill="1" applyBorder="1" applyAlignment="1">
      <alignment horizontal="right" vertical="center" indent="1"/>
    </xf>
    <xf numFmtId="0" fontId="4" fillId="3" borderId="7" xfId="0" applyFont="1" applyFill="1" applyBorder="1" applyAlignment="1">
      <alignment horizontal="right" vertical="center" indent="1"/>
    </xf>
    <xf numFmtId="0" fontId="4" fillId="3" borderId="4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9" fontId="4" fillId="2" borderId="5" xfId="0" applyNumberFormat="1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horizontal="right" indent="1"/>
    </xf>
    <xf numFmtId="0" fontId="4" fillId="3" borderId="10" xfId="0" applyFont="1" applyFill="1" applyBorder="1" applyAlignment="1">
      <alignment horizontal="right" indent="1"/>
    </xf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14" fontId="4" fillId="2" borderId="10" xfId="0" applyNumberFormat="1" applyFont="1" applyFill="1" applyBorder="1" applyAlignment="1">
      <alignment horizontal="left" vertical="center" wrapText="1"/>
    </xf>
    <xf numFmtId="14" fontId="4" fillId="2" borderId="11" xfId="0" applyNumberFormat="1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horizontal="right" vertical="center"/>
    </xf>
    <xf numFmtId="0" fontId="4" fillId="3" borderId="10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164" fontId="26" fillId="3" borderId="0" xfId="0" applyNumberFormat="1" applyFont="1" applyFill="1" applyAlignment="1">
      <alignment horizontal="left" vertical="center"/>
    </xf>
    <xf numFmtId="164" fontId="27" fillId="0" borderId="0" xfId="0" applyNumberFormat="1" applyFont="1" applyAlignment="1">
      <alignment horizontal="left"/>
    </xf>
    <xf numFmtId="0" fontId="8" fillId="3" borderId="46" xfId="0" applyFont="1" applyFill="1" applyBorder="1" applyAlignment="1">
      <alignment horizontal="center" vertical="center" wrapText="1"/>
    </xf>
    <xf numFmtId="164" fontId="15" fillId="9" borderId="46" xfId="0" applyNumberFormat="1" applyFont="1" applyFill="1" applyBorder="1" applyAlignment="1">
      <alignment horizontal="center" vertical="center"/>
    </xf>
    <xf numFmtId="164" fontId="15" fillId="10" borderId="46" xfId="0" applyNumberFormat="1" applyFont="1" applyFill="1" applyBorder="1" applyAlignment="1">
      <alignment horizontal="center" vertical="center"/>
    </xf>
    <xf numFmtId="0" fontId="7" fillId="9" borderId="47" xfId="0" applyFont="1" applyFill="1" applyBorder="1" applyAlignment="1">
      <alignment horizontal="center" vertical="center" wrapText="1"/>
    </xf>
    <xf numFmtId="0" fontId="7" fillId="9" borderId="48" xfId="0" applyFont="1" applyFill="1" applyBorder="1" applyAlignment="1">
      <alignment horizontal="center" vertical="center" wrapText="1"/>
    </xf>
    <xf numFmtId="0" fontId="7" fillId="9" borderId="49" xfId="0" applyFont="1" applyFill="1" applyBorder="1" applyAlignment="1">
      <alignment horizontal="center" vertical="center" wrapText="1"/>
    </xf>
    <xf numFmtId="0" fontId="7" fillId="9" borderId="50" xfId="0" applyFont="1" applyFill="1" applyBorder="1" applyAlignment="1">
      <alignment horizontal="center" vertical="center" wrapText="1"/>
    </xf>
    <xf numFmtId="0" fontId="15" fillId="9" borderId="46" xfId="0" applyFont="1" applyFill="1" applyBorder="1" applyAlignment="1">
      <alignment horizontal="center" vertical="center" wrapText="1"/>
    </xf>
    <xf numFmtId="0" fontId="7" fillId="10" borderId="47" xfId="0" applyFont="1" applyFill="1" applyBorder="1" applyAlignment="1">
      <alignment horizontal="center" vertical="center" wrapText="1"/>
    </xf>
    <xf numFmtId="0" fontId="7" fillId="10" borderId="48" xfId="0" applyFont="1" applyFill="1" applyBorder="1" applyAlignment="1">
      <alignment horizontal="center" vertical="center" wrapText="1"/>
    </xf>
    <xf numFmtId="0" fontId="7" fillId="10" borderId="49" xfId="0" applyFont="1" applyFill="1" applyBorder="1" applyAlignment="1">
      <alignment horizontal="center" vertical="center" wrapText="1"/>
    </xf>
    <xf numFmtId="0" fontId="7" fillId="10" borderId="50" xfId="0" applyFont="1" applyFill="1" applyBorder="1" applyAlignment="1">
      <alignment horizontal="center" vertical="center" wrapText="1"/>
    </xf>
    <xf numFmtId="0" fontId="15" fillId="10" borderId="46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4" fillId="9" borderId="46" xfId="0" applyFont="1" applyFill="1" applyBorder="1" applyAlignment="1">
      <alignment horizontal="center" vertical="center" wrapText="1"/>
    </xf>
    <xf numFmtId="0" fontId="14" fillId="10" borderId="46" xfId="0" applyFont="1" applyFill="1" applyBorder="1" applyAlignment="1">
      <alignment horizontal="center" vertical="center" wrapText="1"/>
    </xf>
    <xf numFmtId="0" fontId="6" fillId="3" borderId="44" xfId="0" applyFont="1" applyFill="1" applyBorder="1" applyAlignment="1">
      <alignment horizontal="center" vertical="center" wrapText="1"/>
    </xf>
    <xf numFmtId="0" fontId="6" fillId="3" borderId="45" xfId="0" applyFont="1" applyFill="1" applyBorder="1" applyAlignment="1">
      <alignment horizontal="center" vertical="center" wrapText="1"/>
    </xf>
    <xf numFmtId="9" fontId="1" fillId="5" borderId="17" xfId="0" applyNumberFormat="1" applyFont="1" applyFill="1" applyBorder="1" applyAlignment="1">
      <alignment horizontal="center" vertical="center"/>
    </xf>
    <xf numFmtId="9" fontId="1" fillId="5" borderId="19" xfId="0" applyNumberFormat="1" applyFont="1" applyFill="1" applyBorder="1" applyAlignment="1">
      <alignment horizontal="center" vertical="center"/>
    </xf>
    <xf numFmtId="164" fontId="28" fillId="0" borderId="0" xfId="0" applyNumberFormat="1" applyFont="1" applyAlignment="1">
      <alignment horizontal="left" vertical="top"/>
    </xf>
    <xf numFmtId="164" fontId="12" fillId="0" borderId="0" xfId="0" applyNumberFormat="1" applyFont="1" applyAlignment="1">
      <alignment horizontal="left" vertical="top"/>
    </xf>
    <xf numFmtId="164" fontId="1" fillId="5" borderId="19" xfId="0" applyNumberFormat="1" applyFont="1" applyFill="1" applyBorder="1" applyAlignment="1">
      <alignment horizontal="center"/>
    </xf>
    <xf numFmtId="164" fontId="1" fillId="5" borderId="20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 vertical="center"/>
    </xf>
    <xf numFmtId="14" fontId="15" fillId="10" borderId="46" xfId="0" applyNumberFormat="1" applyFont="1" applyFill="1" applyBorder="1" applyAlignment="1">
      <alignment horizontal="center" vertical="center" wrapText="1"/>
    </xf>
    <xf numFmtId="0" fontId="7" fillId="9" borderId="46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distributed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top"/>
    </xf>
    <xf numFmtId="0" fontId="4" fillId="3" borderId="6" xfId="0" applyFont="1" applyFill="1" applyBorder="1" applyAlignment="1">
      <alignment horizontal="right" vertical="center"/>
    </xf>
    <xf numFmtId="0" fontId="4" fillId="3" borderId="7" xfId="0" applyFont="1" applyFill="1" applyBorder="1" applyAlignment="1">
      <alignment horizontal="right" vertical="center"/>
    </xf>
    <xf numFmtId="0" fontId="5" fillId="3" borderId="31" xfId="0" applyFont="1" applyFill="1" applyBorder="1" applyAlignment="1">
      <alignment horizontal="center" vertical="center" wrapText="1"/>
    </xf>
    <xf numFmtId="0" fontId="5" fillId="3" borderId="41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5" fillId="3" borderId="35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42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43" xfId="0" applyFont="1" applyFill="1" applyBorder="1" applyAlignment="1">
      <alignment horizontal="center" vertical="center" wrapText="1"/>
    </xf>
    <xf numFmtId="0" fontId="5" fillId="3" borderId="38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5" fillId="3" borderId="40" xfId="0" applyFont="1" applyFill="1" applyBorder="1" applyAlignment="1">
      <alignment horizontal="center" vertical="center" wrapText="1"/>
    </xf>
    <xf numFmtId="0" fontId="1" fillId="7" borderId="24" xfId="0" applyFont="1" applyFill="1" applyBorder="1"/>
    <xf numFmtId="0" fontId="1" fillId="7" borderId="25" xfId="0" applyFont="1" applyFill="1" applyBorder="1"/>
    <xf numFmtId="0" fontId="4" fillId="3" borderId="9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right"/>
    </xf>
    <xf numFmtId="0" fontId="9" fillId="2" borderId="10" xfId="1" applyFill="1" applyBorder="1"/>
    <xf numFmtId="0" fontId="4" fillId="2" borderId="10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1" fillId="11" borderId="24" xfId="0" applyFont="1" applyFill="1" applyBorder="1" applyAlignment="1">
      <alignment horizontal="center"/>
    </xf>
    <xf numFmtId="0" fontId="1" fillId="11" borderId="34" xfId="0" applyFont="1" applyFill="1" applyBorder="1" applyAlignment="1">
      <alignment horizontal="center"/>
    </xf>
    <xf numFmtId="0" fontId="1" fillId="11" borderId="25" xfId="0" applyFont="1" applyFill="1" applyBorder="1" applyAlignment="1">
      <alignment horizontal="center"/>
    </xf>
    <xf numFmtId="14" fontId="4" fillId="2" borderId="10" xfId="0" applyNumberFormat="1" applyFont="1" applyFill="1" applyBorder="1" applyAlignment="1">
      <alignment horizontal="left" vertical="center"/>
    </xf>
    <xf numFmtId="14" fontId="4" fillId="2" borderId="11" xfId="0" applyNumberFormat="1" applyFont="1" applyFill="1" applyBorder="1" applyAlignment="1">
      <alignment horizontal="left" vertical="center"/>
    </xf>
    <xf numFmtId="0" fontId="13" fillId="12" borderId="24" xfId="0" applyFont="1" applyFill="1" applyBorder="1" applyAlignment="1">
      <alignment horizontal="left"/>
    </xf>
    <xf numFmtId="0" fontId="13" fillId="12" borderId="25" xfId="0" applyFont="1" applyFill="1" applyBorder="1" applyAlignment="1">
      <alignment horizontal="left"/>
    </xf>
    <xf numFmtId="164" fontId="1" fillId="5" borderId="17" xfId="0" applyNumberFormat="1" applyFont="1" applyFill="1" applyBorder="1" applyAlignment="1">
      <alignment horizontal="center"/>
    </xf>
    <xf numFmtId="164" fontId="1" fillId="5" borderId="18" xfId="0" applyNumberFormat="1" applyFont="1" applyFill="1" applyBorder="1" applyAlignment="1">
      <alignment horizontal="center"/>
    </xf>
    <xf numFmtId="0" fontId="19" fillId="0" borderId="0" xfId="0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right" vertical="center" wrapText="1"/>
    </xf>
    <xf numFmtId="0" fontId="4" fillId="3" borderId="7" xfId="0" applyFont="1" applyFill="1" applyBorder="1" applyAlignment="1">
      <alignment horizontal="right" vertical="center" wrapText="1"/>
    </xf>
    <xf numFmtId="0" fontId="4" fillId="2" borderId="0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166" fontId="11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14" fontId="15" fillId="9" borderId="46" xfId="0" applyNumberFormat="1" applyFont="1" applyFill="1" applyBorder="1" applyAlignment="1">
      <alignment horizontal="center" vertical="center" wrapText="1"/>
    </xf>
    <xf numFmtId="0" fontId="1" fillId="0" borderId="2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8" fillId="3" borderId="46" xfId="0" applyFont="1" applyFill="1" applyBorder="1" applyAlignment="1">
      <alignment horizontal="center" vertical="center"/>
    </xf>
    <xf numFmtId="0" fontId="7" fillId="10" borderId="46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8C2129"/>
      <color rgb="FFAD9664"/>
      <color rgb="FFF6F4EE"/>
      <color rgb="FFDCD2BC"/>
      <color rgb="FFD3C6AB"/>
      <color rgb="FFF5D6D8"/>
      <color rgb="FFEAA8AD"/>
      <color rgb="FFD24650"/>
      <color rgb="FFF2F2F2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120 357,13 €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52585.605760000006</c:v>
                </c:pt>
                <c:pt idx="1">
                  <c:v>67771.527839999995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100529.709</c:v>
                </c:pt>
                <c:pt idx="1">
                  <c:v>164.709</c:v>
                </c:pt>
                <c:pt idx="2">
                  <c:v>19827.424600000002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10</xdr:row>
      <xdr:rowOff>0</xdr:rowOff>
    </xdr:from>
    <xdr:to>
      <xdr:col>1</xdr:col>
      <xdr:colOff>592542</xdr:colOff>
      <xdr:row>15</xdr:row>
      <xdr:rowOff>55809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58666" y="2328333"/>
          <a:ext cx="1323816" cy="1223786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18</xdr:row>
      <xdr:rowOff>97193</xdr:rowOff>
    </xdr:from>
    <xdr:to>
      <xdr:col>1</xdr:col>
      <xdr:colOff>782002</xdr:colOff>
      <xdr:row>23</xdr:row>
      <xdr:rowOff>133349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3816" y="4284383"/>
          <a:ext cx="1518126" cy="1207943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9983"/>
          <a:ext cx="1516221" cy="1240366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43</xdr:row>
      <xdr:rowOff>35066</xdr:rowOff>
    </xdr:from>
    <xdr:to>
      <xdr:col>1</xdr:col>
      <xdr:colOff>704937</xdr:colOff>
      <xdr:row>48</xdr:row>
      <xdr:rowOff>18163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10046899"/>
          <a:ext cx="1476692" cy="1151074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220028</xdr:colOff>
      <xdr:row>4</xdr:row>
      <xdr:rowOff>107393</xdr:rowOff>
    </xdr:from>
    <xdr:to>
      <xdr:col>21</xdr:col>
      <xdr:colOff>643944</xdr:colOff>
      <xdr:row>10</xdr:row>
      <xdr:rowOff>134155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320540" y="1036821"/>
          <a:ext cx="2013321" cy="1421857"/>
          <a:chOff x="15650528" y="553639"/>
          <a:chExt cx="1605439" cy="1165148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35068</xdr:colOff>
      <xdr:row>94</xdr:row>
      <xdr:rowOff>204106</xdr:rowOff>
    </xdr:from>
    <xdr:to>
      <xdr:col>1</xdr:col>
      <xdr:colOff>761349</xdr:colOff>
      <xdr:row>99</xdr:row>
      <xdr:rowOff>97114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35068" y="22062499"/>
          <a:ext cx="1520031" cy="996638"/>
          <a:chOff x="15650528" y="553639"/>
          <a:chExt cx="1605439" cy="1165148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62</xdr:row>
      <xdr:rowOff>98325</xdr:rowOff>
    </xdr:from>
    <xdr:to>
      <xdr:col>15</xdr:col>
      <xdr:colOff>513599</xdr:colOff>
      <xdr:row>80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6480" y="14530182"/>
          <a:ext cx="9115846" cy="4136731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171472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475988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114856" y="5213774"/>
          <a:ext cx="1330275" cy="1243224"/>
          <a:chOff x="97630" y="3167063"/>
          <a:chExt cx="1325404" cy="1272063"/>
        </a:xfrm>
      </xdr:grpSpPr>
      <xdr:pic macro="[0]!addLineTo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addLineTo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456127</xdr:colOff>
      <xdr:row>43</xdr:row>
      <xdr:rowOff>187815</xdr:rowOff>
    </xdr:from>
    <xdr:to>
      <xdr:col>23</xdr:col>
      <xdr:colOff>684192</xdr:colOff>
      <xdr:row>54</xdr:row>
      <xdr:rowOff>40246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146044" y="10199648"/>
          <a:ext cx="1762648" cy="2413598"/>
          <a:chOff x="16524501" y="9259464"/>
          <a:chExt cx="2364595" cy="3161638"/>
        </a:xfrm>
      </xdr:grpSpPr>
      <xdr:pic macro="[0]!refreshAllReferenc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245228</xdr:colOff>
      <xdr:row>23</xdr:row>
      <xdr:rowOff>21032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410973" y="3927768"/>
          <a:ext cx="1527982" cy="1444621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178954</xdr:colOff>
      <xdr:row>22</xdr:row>
      <xdr:rowOff>70135</xdr:rowOff>
    </xdr:from>
    <xdr:to>
      <xdr:col>11</xdr:col>
      <xdr:colOff>587086</xdr:colOff>
      <xdr:row>37</xdr:row>
      <xdr:rowOff>186782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2270" y="5201972"/>
          <a:ext cx="3561024" cy="361562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olomas@ebeniste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26"/>
  <sheetViews>
    <sheetView tabSelected="1" topLeftCell="A13" zoomScale="90" zoomScaleNormal="90" zoomScalePageLayoutView="71" workbookViewId="0">
      <selection activeCell="AG21" sqref="AG21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5"/>
    <col min="21" max="22" width="11.5546875" style="2"/>
    <col min="23" max="25" width="10.88671875" style="2" customWidth="1"/>
    <col min="26" max="28" width="10.88671875" style="16" customWidth="1"/>
    <col min="29" max="37" width="10.88671875" style="2" customWidth="1"/>
    <col min="38" max="39" width="8" style="2" customWidth="1"/>
    <col min="40" max="16384" width="11.5546875" style="2"/>
  </cols>
  <sheetData>
    <row r="1" spans="1:27" ht="18" customHeight="1" x14ac:dyDescent="0.4">
      <c r="H1" s="113" t="s">
        <v>0</v>
      </c>
      <c r="I1" s="114"/>
      <c r="J1" s="114"/>
      <c r="K1" s="121" t="s">
        <v>5</v>
      </c>
      <c r="L1" s="121"/>
      <c r="M1" s="122"/>
      <c r="R1" s="135" t="s">
        <v>12</v>
      </c>
      <c r="S1" s="135"/>
    </row>
    <row r="2" spans="1:27" ht="18" customHeight="1" x14ac:dyDescent="0.4">
      <c r="A2" s="17"/>
      <c r="H2" s="115"/>
      <c r="I2" s="116"/>
      <c r="J2" s="116"/>
      <c r="K2" s="123"/>
      <c r="L2" s="123"/>
      <c r="M2" s="124"/>
      <c r="R2" s="135"/>
      <c r="S2" s="135"/>
    </row>
    <row r="3" spans="1:27" ht="18" customHeight="1" x14ac:dyDescent="0.4">
      <c r="H3" s="113" t="s">
        <v>86</v>
      </c>
      <c r="I3" s="114"/>
      <c r="J3" s="114"/>
      <c r="K3" s="121" t="s">
        <v>5</v>
      </c>
      <c r="L3" s="121"/>
      <c r="M3" s="122"/>
      <c r="R3" s="135"/>
      <c r="S3" s="135"/>
    </row>
    <row r="4" spans="1:27" ht="18" customHeight="1" thickBot="1" x14ac:dyDescent="0.45">
      <c r="H4" s="115"/>
      <c r="I4" s="116"/>
      <c r="J4" s="116"/>
      <c r="K4" s="123"/>
      <c r="L4" s="123"/>
      <c r="M4" s="124"/>
    </row>
    <row r="5" spans="1:27" ht="18" customHeight="1" thickBot="1" x14ac:dyDescent="0.45">
      <c r="A5" s="22"/>
      <c r="B5" s="22"/>
      <c r="H5" s="125" t="s">
        <v>4</v>
      </c>
      <c r="I5" s="126"/>
      <c r="J5" s="126"/>
      <c r="K5" s="127" t="s">
        <v>6</v>
      </c>
      <c r="L5" s="127"/>
      <c r="M5" s="128"/>
      <c r="P5" s="133" t="s">
        <v>13</v>
      </c>
      <c r="Q5" s="134"/>
      <c r="R5" s="131">
        <v>44261</v>
      </c>
      <c r="S5" s="132"/>
      <c r="W5" s="6"/>
      <c r="X5" s="10" t="s">
        <v>19</v>
      </c>
      <c r="Z5" s="182" t="s">
        <v>108</v>
      </c>
      <c r="AA5" s="183"/>
    </row>
    <row r="6" spans="1:27" ht="18" customHeight="1" thickBot="1" x14ac:dyDescent="0.45">
      <c r="A6" s="22"/>
      <c r="B6" s="22"/>
      <c r="H6" s="125" t="s">
        <v>11</v>
      </c>
      <c r="I6" s="126"/>
      <c r="J6" s="126"/>
      <c r="K6" s="129" t="s">
        <v>7</v>
      </c>
      <c r="L6" s="129"/>
      <c r="M6" s="130"/>
      <c r="P6" s="117" t="s">
        <v>14</v>
      </c>
      <c r="Q6" s="118"/>
      <c r="R6" s="119">
        <v>1</v>
      </c>
      <c r="S6" s="120"/>
      <c r="U6" s="22"/>
      <c r="V6" s="22"/>
      <c r="W6" s="7" t="str" cm="1">
        <f t="array" aca="1" ref="W6" ca="1">CONCATENATE("FC-",YEAR(TODAY())-1,INDEX('informations enregistrées'!B2:B10000,COUNTA('informations enregistrées'!B2:B10000),1)+1)</f>
        <v>FC-2020572</v>
      </c>
      <c r="X6" s="11"/>
      <c r="Z6" s="8" t="s">
        <v>76</v>
      </c>
      <c r="AA6" s="36" t="str">
        <f>IF(COUNTIF(CodesTVA,"N")+COUNTIF(CodesTVA,"A + N")&gt;0,"Y","N")</f>
        <v>Y</v>
      </c>
    </row>
    <row r="7" spans="1:27" ht="18" customHeight="1" thickBot="1" x14ac:dyDescent="0.45">
      <c r="A7" s="22"/>
      <c r="B7" s="22"/>
      <c r="H7" s="125" t="s">
        <v>1</v>
      </c>
      <c r="I7" s="126"/>
      <c r="J7" s="126"/>
      <c r="K7" s="129" t="s">
        <v>8</v>
      </c>
      <c r="L7" s="129"/>
      <c r="M7" s="130"/>
      <c r="P7" s="117"/>
      <c r="Q7" s="118"/>
      <c r="R7" s="119"/>
      <c r="S7" s="120"/>
      <c r="U7" s="22"/>
      <c r="V7" s="22"/>
      <c r="W7" s="208" t="s">
        <v>158</v>
      </c>
      <c r="X7" s="208" t="s">
        <v>157</v>
      </c>
      <c r="Z7" s="4" t="s">
        <v>77</v>
      </c>
      <c r="AA7" s="5">
        <f>(SUMIF(CodesTVA,"A + N",MontantsArticlesHT)+SUMIF(CodesTVA,"N",MontantsArticlesHT)+SUM(TaxeAmeublementN))*20%</f>
        <v>19578.978200000001</v>
      </c>
    </row>
    <row r="8" spans="1:27" ht="18" customHeight="1" x14ac:dyDescent="0.4">
      <c r="H8" s="125" t="s">
        <v>2</v>
      </c>
      <c r="I8" s="126"/>
      <c r="J8" s="126"/>
      <c r="K8" s="129" t="s">
        <v>9</v>
      </c>
      <c r="L8" s="129"/>
      <c r="M8" s="130"/>
      <c r="P8" s="184" t="s">
        <v>15</v>
      </c>
      <c r="Q8" s="185"/>
      <c r="R8" s="187">
        <v>2</v>
      </c>
      <c r="S8" s="188"/>
      <c r="W8" s="209"/>
      <c r="X8" s="209"/>
    </row>
    <row r="9" spans="1:27" ht="18" customHeight="1" thickBot="1" x14ac:dyDescent="0.45">
      <c r="H9" s="125" t="s">
        <v>3</v>
      </c>
      <c r="I9" s="126"/>
      <c r="J9" s="126"/>
      <c r="K9" s="129" t="s">
        <v>10</v>
      </c>
      <c r="L9" s="129"/>
      <c r="M9" s="130"/>
      <c r="P9" s="133" t="s">
        <v>118</v>
      </c>
      <c r="Q9" s="134"/>
      <c r="R9" s="187" t="str">
        <f ca="1">W6</f>
        <v>FC-2020572</v>
      </c>
      <c r="S9" s="188"/>
    </row>
    <row r="10" spans="1:27" ht="18" customHeight="1" thickBot="1" x14ac:dyDescent="0.45">
      <c r="H10" s="125" t="s">
        <v>102</v>
      </c>
      <c r="I10" s="126"/>
      <c r="J10" s="126"/>
      <c r="K10" s="186" t="s">
        <v>103</v>
      </c>
      <c r="L10" s="129"/>
      <c r="M10" s="130"/>
      <c r="P10" s="168" t="s">
        <v>16</v>
      </c>
      <c r="Q10" s="169"/>
      <c r="R10" s="192">
        <v>44261</v>
      </c>
      <c r="S10" s="193"/>
      <c r="Z10" s="182" t="s">
        <v>75</v>
      </c>
      <c r="AA10" s="183"/>
    </row>
    <row r="11" spans="1:27" ht="18" customHeight="1" thickBot="1" x14ac:dyDescent="0.45">
      <c r="A11" s="57"/>
      <c r="B11" s="57"/>
      <c r="C11" s="45"/>
      <c r="D11" s="45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Z11" s="8" t="s">
        <v>76</v>
      </c>
      <c r="AA11" s="36" t="str">
        <f>IF(COUNTIF(CodesTVA,"A")+COUNTIF(CodesTVA,"A + N")+COUNTIF(CodesTVA,"A + R")&gt;0,"Y","N")</f>
        <v>Y</v>
      </c>
    </row>
    <row r="12" spans="1:27" ht="18" customHeight="1" thickBot="1" x14ac:dyDescent="0.45">
      <c r="A12" s="23"/>
      <c r="B12" s="23"/>
      <c r="C12" s="15" t="s">
        <v>150</v>
      </c>
      <c r="D12" s="87" t="s">
        <v>20</v>
      </c>
      <c r="E12" s="87"/>
      <c r="F12" s="88" t="s">
        <v>21</v>
      </c>
      <c r="G12" s="88"/>
      <c r="H12" s="15" t="s">
        <v>22</v>
      </c>
      <c r="I12" s="15"/>
      <c r="J12" s="15"/>
      <c r="Z12" s="4" t="s">
        <v>77</v>
      </c>
      <c r="AA12" s="5">
        <f>(SUMIF(CodesTVA,"A + N",MontantsArticlesHT)+SUMIF(CodesTVA,"A + R",MontantsArticlesHT))*0.18%</f>
        <v>164.709</v>
      </c>
    </row>
    <row r="13" spans="1:27" ht="18" customHeight="1" x14ac:dyDescent="0.4">
      <c r="A13" s="23"/>
      <c r="B13" s="23"/>
      <c r="C13" s="52" t="s">
        <v>149</v>
      </c>
      <c r="D13" s="87" t="s">
        <v>33</v>
      </c>
      <c r="E13" s="87"/>
      <c r="F13" s="88" t="s">
        <v>23</v>
      </c>
      <c r="G13" s="88"/>
      <c r="H13" s="2" t="s">
        <v>24</v>
      </c>
    </row>
    <row r="14" spans="1:27" ht="18" customHeight="1" thickBot="1" x14ac:dyDescent="0.45">
      <c r="A14" s="23"/>
      <c r="B14" s="23"/>
      <c r="C14" s="52" t="s">
        <v>149</v>
      </c>
      <c r="D14" s="87" t="s">
        <v>34</v>
      </c>
      <c r="E14" s="87"/>
      <c r="F14" s="88" t="s">
        <v>23</v>
      </c>
      <c r="G14" s="88"/>
      <c r="H14" s="2" t="s">
        <v>24</v>
      </c>
    </row>
    <row r="15" spans="1:27" ht="18" customHeight="1" thickBot="1" x14ac:dyDescent="0.45">
      <c r="A15" s="57"/>
      <c r="B15" s="57"/>
      <c r="C15" s="57" t="s">
        <v>149</v>
      </c>
      <c r="D15" s="87" t="s">
        <v>137</v>
      </c>
      <c r="E15" s="87"/>
      <c r="F15" s="88" t="s">
        <v>23</v>
      </c>
      <c r="G15" s="88"/>
      <c r="H15" s="57" t="s">
        <v>24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Z15" s="182" t="s">
        <v>84</v>
      </c>
      <c r="AA15" s="183"/>
    </row>
    <row r="16" spans="1:27" ht="18" customHeight="1" thickBot="1" x14ac:dyDescent="0.45">
      <c r="A16" s="23"/>
      <c r="B16" s="23"/>
      <c r="Z16" s="8" t="s">
        <v>76</v>
      </c>
      <c r="AA16" s="9" t="str">
        <f>IF(COUNTIF(CodesTVA,"R")+COUNTIF(CodesTVA,"A + R")+COUNTIF(CodesTVA,"N + R")&gt;0,"Y","N")</f>
        <v>Y</v>
      </c>
    </row>
    <row r="17" spans="1:29" ht="18" customHeight="1" thickBot="1" x14ac:dyDescent="0.45">
      <c r="A17" s="22"/>
      <c r="B17" s="22"/>
      <c r="C17" s="170" t="s">
        <v>105</v>
      </c>
      <c r="D17" s="170" t="s">
        <v>28</v>
      </c>
      <c r="E17" s="173" t="s">
        <v>29</v>
      </c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75"/>
      <c r="R17" s="170" t="s">
        <v>30</v>
      </c>
      <c r="S17" s="170" t="s">
        <v>31</v>
      </c>
      <c r="Y17" s="23"/>
      <c r="Z17" s="4" t="s">
        <v>77</v>
      </c>
      <c r="AA17" s="5">
        <f>(SUMIF(CodesTVA,"A + R",MontantsArticlesHT)+SUMIF(CodesTVA,"R",MontantsArticlesHT)+SUM(TaxeAmeublementR))*10%</f>
        <v>248.44640000000001</v>
      </c>
    </row>
    <row r="18" spans="1:29" s="23" customFormat="1" ht="18" customHeight="1" x14ac:dyDescent="0.4">
      <c r="A18" s="22"/>
      <c r="B18" s="22"/>
      <c r="C18" s="171"/>
      <c r="D18" s="171"/>
      <c r="E18" s="176"/>
      <c r="F18" s="177"/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8"/>
      <c r="R18" s="171"/>
      <c r="S18" s="171"/>
      <c r="Z18" s="38"/>
      <c r="AA18" s="38"/>
    </row>
    <row r="19" spans="1:29" s="23" customFormat="1" ht="18" customHeight="1" x14ac:dyDescent="0.4">
      <c r="C19" s="172"/>
      <c r="D19" s="172"/>
      <c r="E19" s="179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1"/>
      <c r="R19" s="172"/>
      <c r="S19" s="172"/>
    </row>
    <row r="20" spans="1:29" ht="18" customHeight="1" thickBot="1" x14ac:dyDescent="0.45">
      <c r="A20" s="3"/>
      <c r="B20" s="3"/>
      <c r="C20" s="18" t="s">
        <v>32</v>
      </c>
      <c r="D20" s="39" t="s">
        <v>35</v>
      </c>
      <c r="E20" s="84" t="s">
        <v>53</v>
      </c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6"/>
      <c r="R20" s="19">
        <v>34900</v>
      </c>
      <c r="S20" s="27" t="s">
        <v>72</v>
      </c>
      <c r="Y20" s="23"/>
    </row>
    <row r="21" spans="1:29" ht="18" customHeight="1" thickBot="1" x14ac:dyDescent="0.45">
      <c r="A21" s="23"/>
      <c r="B21" s="23"/>
      <c r="C21" s="20" t="s">
        <v>32</v>
      </c>
      <c r="D21" s="40" t="s">
        <v>36</v>
      </c>
      <c r="E21" s="94" t="s">
        <v>54</v>
      </c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6"/>
      <c r="R21" s="21">
        <v>7950</v>
      </c>
      <c r="S21" s="28" t="s">
        <v>72</v>
      </c>
      <c r="U21" s="23"/>
      <c r="V21" s="23"/>
      <c r="W21" s="23"/>
      <c r="X21" s="23"/>
      <c r="Y21" s="23"/>
      <c r="Z21" s="189" t="s">
        <v>131</v>
      </c>
      <c r="AA21" s="190"/>
      <c r="AB21" s="191"/>
    </row>
    <row r="22" spans="1:29" ht="18" customHeight="1" thickBot="1" x14ac:dyDescent="0.45">
      <c r="A22" s="23"/>
      <c r="B22" s="23"/>
      <c r="C22" s="18" t="s">
        <v>32</v>
      </c>
      <c r="D22" s="39" t="s">
        <v>37</v>
      </c>
      <c r="E22" s="84" t="s">
        <v>55</v>
      </c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6"/>
      <c r="R22" s="19">
        <v>990</v>
      </c>
      <c r="S22" s="27" t="s">
        <v>72</v>
      </c>
      <c r="U22" s="23"/>
      <c r="V22" s="23"/>
      <c r="W22" s="23"/>
      <c r="X22" s="23"/>
      <c r="Y22" s="23"/>
      <c r="Z22" s="54" t="s">
        <v>132</v>
      </c>
      <c r="AA22" s="54" t="s">
        <v>72</v>
      </c>
      <c r="AB22" s="54" t="s">
        <v>107</v>
      </c>
      <c r="AC22" s="23"/>
    </row>
    <row r="23" spans="1:29" ht="18" customHeight="1" thickBot="1" x14ac:dyDescent="0.45">
      <c r="A23" s="23"/>
      <c r="B23" s="23"/>
      <c r="C23" s="20" t="s">
        <v>32</v>
      </c>
      <c r="D23" s="40" t="s">
        <v>26</v>
      </c>
      <c r="E23" s="94" t="s">
        <v>56</v>
      </c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6"/>
      <c r="R23" s="21">
        <v>1200</v>
      </c>
      <c r="S23" s="28" t="s">
        <v>72</v>
      </c>
      <c r="U23" s="23"/>
      <c r="V23" s="23"/>
      <c r="W23" s="23"/>
      <c r="X23" s="23"/>
      <c r="Y23" s="23"/>
      <c r="Z23" s="7" t="s">
        <v>138</v>
      </c>
      <c r="AA23" s="7" t="s">
        <v>139</v>
      </c>
      <c r="AB23" s="7" t="s">
        <v>140</v>
      </c>
    </row>
    <row r="24" spans="1:29" ht="18" customHeight="1" thickBot="1" x14ac:dyDescent="0.45">
      <c r="A24" s="22"/>
      <c r="B24" s="41"/>
      <c r="C24" s="18" t="s">
        <v>32</v>
      </c>
      <c r="D24" s="39" t="s">
        <v>38</v>
      </c>
      <c r="E24" s="84" t="s">
        <v>57</v>
      </c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6"/>
      <c r="R24" s="19">
        <v>350</v>
      </c>
      <c r="S24" s="27" t="s">
        <v>72</v>
      </c>
      <c r="U24" s="23"/>
      <c r="V24" s="23"/>
      <c r="W24" s="23"/>
      <c r="X24" s="23"/>
      <c r="Y24" s="23"/>
    </row>
    <row r="25" spans="1:29" ht="18" customHeight="1" x14ac:dyDescent="0.4">
      <c r="A25" s="22"/>
      <c r="B25" s="41"/>
      <c r="C25" s="20" t="s">
        <v>32</v>
      </c>
      <c r="D25" s="40" t="s">
        <v>25</v>
      </c>
      <c r="E25" s="94" t="s">
        <v>58</v>
      </c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6"/>
      <c r="R25" s="21">
        <v>7080</v>
      </c>
      <c r="S25" s="28" t="s">
        <v>72</v>
      </c>
      <c r="Y25" s="23"/>
      <c r="Z25" s="107" t="s">
        <v>106</v>
      </c>
      <c r="AA25" s="108"/>
      <c r="AB25" s="109"/>
      <c r="AC25" s="57"/>
    </row>
    <row r="26" spans="1:29" ht="18" customHeight="1" thickBot="1" x14ac:dyDescent="0.45">
      <c r="C26" s="18" t="s">
        <v>32</v>
      </c>
      <c r="D26" s="39" t="s">
        <v>27</v>
      </c>
      <c r="E26" s="84" t="s">
        <v>58</v>
      </c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6"/>
      <c r="R26" s="19">
        <v>2530</v>
      </c>
      <c r="S26" s="27" t="s">
        <v>72</v>
      </c>
      <c r="Y26" s="23"/>
      <c r="Z26" s="110"/>
      <c r="AA26" s="111"/>
      <c r="AB26" s="112"/>
      <c r="AC26" s="57"/>
    </row>
    <row r="27" spans="1:29" ht="18" customHeight="1" thickBot="1" x14ac:dyDescent="0.45">
      <c r="C27" s="20" t="s">
        <v>32</v>
      </c>
      <c r="D27" s="40" t="s">
        <v>39</v>
      </c>
      <c r="E27" s="94" t="s">
        <v>59</v>
      </c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6"/>
      <c r="R27" s="21">
        <v>1800</v>
      </c>
      <c r="S27" s="28" t="s">
        <v>72</v>
      </c>
      <c r="Y27" s="23"/>
      <c r="Z27" s="32"/>
      <c r="AA27" s="33" t="s">
        <v>72</v>
      </c>
      <c r="AB27" s="34" t="s">
        <v>107</v>
      </c>
    </row>
    <row r="28" spans="1:29" ht="18" customHeight="1" thickBot="1" x14ac:dyDescent="0.45">
      <c r="C28" s="18" t="s">
        <v>32</v>
      </c>
      <c r="D28" s="39" t="s">
        <v>40</v>
      </c>
      <c r="E28" s="84" t="s">
        <v>60</v>
      </c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6"/>
      <c r="R28" s="19">
        <v>1590</v>
      </c>
      <c r="S28" s="27" t="s">
        <v>72</v>
      </c>
      <c r="Y28" s="22"/>
      <c r="Z28" s="56" t="str" cm="1">
        <f t="array" ref="Z28:Z31">DevisEtDMPs</f>
        <v>D-201107-2</v>
      </c>
      <c r="AA28" s="31">
        <f>(SUMIFS(MontantsArticlesHT,RefsDevisEtDMP,$Z28,CodesTVA,"A + N"))*0.18%</f>
        <v>0</v>
      </c>
      <c r="AB28" s="31">
        <f>SUMIFS(MontantsArticlesHT,RefsDevisEtDMP,$Z28,CodesTVA,"A + R")*0.18%</f>
        <v>0</v>
      </c>
    </row>
    <row r="29" spans="1:29" ht="18" customHeight="1" thickBot="1" x14ac:dyDescent="0.45">
      <c r="C29" s="20" t="s">
        <v>32</v>
      </c>
      <c r="D29" s="40" t="s">
        <v>41</v>
      </c>
      <c r="E29" s="94" t="s">
        <v>55</v>
      </c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6"/>
      <c r="R29" s="21">
        <v>4600</v>
      </c>
      <c r="S29" s="28" t="s">
        <v>72</v>
      </c>
      <c r="Y29" s="22"/>
      <c r="Z29" s="56" t="str">
        <v>DMP1.201107.02</v>
      </c>
      <c r="AA29" s="31">
        <f>(SUMIFS(MontantsArticlesHT,RefsDevisEtDMP,$Z29,CodesTVA,"A + N"))*0.18%</f>
        <v>1.2149999999999999</v>
      </c>
      <c r="AB29" s="26">
        <f>SUMIFS(MontantsArticlesHT,RefsDevisEtDMP,$Z29,CodesTVA,"A + R")*0.18%</f>
        <v>0</v>
      </c>
    </row>
    <row r="30" spans="1:29" ht="18" customHeight="1" thickBot="1" x14ac:dyDescent="0.45">
      <c r="C30" s="18" t="s">
        <v>32</v>
      </c>
      <c r="D30" s="39" t="s">
        <v>42</v>
      </c>
      <c r="E30" s="84" t="s">
        <v>61</v>
      </c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6"/>
      <c r="R30" s="19">
        <v>2950</v>
      </c>
      <c r="S30" s="27" t="s">
        <v>72</v>
      </c>
      <c r="Y30" s="23"/>
      <c r="Z30" s="56" t="str">
        <v>DMP2.201107.02</v>
      </c>
      <c r="AA30" s="31">
        <f>(SUMIFS(MontantsArticlesHT,RefsDevisEtDMP,$Z30,CodesTVA,"A + N"))*0.18%</f>
        <v>8.6760000000000002</v>
      </c>
      <c r="AB30" s="26">
        <f>SUMIFS(MontantsArticlesHT,RefsDevisEtDMP,$Z30,CodesTVA,"A + R")*0.18%</f>
        <v>0</v>
      </c>
    </row>
    <row r="31" spans="1:29" ht="18" customHeight="1" thickBot="1" x14ac:dyDescent="0.45">
      <c r="C31" s="20" t="s">
        <v>32</v>
      </c>
      <c r="D31" s="40" t="s">
        <v>43</v>
      </c>
      <c r="E31" s="94" t="s">
        <v>62</v>
      </c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6"/>
      <c r="R31" s="21">
        <v>990</v>
      </c>
      <c r="S31" s="28" t="s">
        <v>72</v>
      </c>
      <c r="Y31" s="23"/>
      <c r="Z31" s="56" t="str">
        <v>DMP3.201107.02</v>
      </c>
      <c r="AA31" s="31">
        <f>(SUMIFS(MontantsArticlesHT,RefsDevisEtDMP,$Z31,CodesTVA,"A + N"))*0.18%</f>
        <v>0</v>
      </c>
      <c r="AB31" s="26">
        <f>SUMIFS(MontantsArticlesHT,RefsDevisEtDMP,$Z31,CodesTVA,"A + R")*0.18%</f>
        <v>4.4639999999999995</v>
      </c>
    </row>
    <row r="32" spans="1:29" ht="18" customHeight="1" thickBot="1" x14ac:dyDescent="0.45">
      <c r="C32" s="18" t="s">
        <v>32</v>
      </c>
      <c r="D32" s="39" t="s">
        <v>44</v>
      </c>
      <c r="E32" s="84" t="s">
        <v>63</v>
      </c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6"/>
      <c r="R32" s="19">
        <v>16600</v>
      </c>
      <c r="S32" s="27" t="s">
        <v>72</v>
      </c>
      <c r="Z32" s="67"/>
      <c r="AA32" s="31">
        <f>(SUMIFS(MontantsArticlesHT,RefsDevisEtDMP,$Z32,CodesTVA,"A + N"))*0.18%</f>
        <v>0</v>
      </c>
      <c r="AB32" s="26">
        <f>SUMIFS(MontantsArticlesHT,RefsDevisEtDMP,$Z32,CodesTVA,"A + R")*0.18%</f>
        <v>0</v>
      </c>
    </row>
    <row r="33" spans="1:36" ht="18" customHeight="1" thickBot="1" x14ac:dyDescent="0.45">
      <c r="C33" s="20" t="s">
        <v>32</v>
      </c>
      <c r="D33" s="40" t="s">
        <v>45</v>
      </c>
      <c r="E33" s="94" t="s">
        <v>64</v>
      </c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6"/>
      <c r="R33" s="21">
        <v>8400</v>
      </c>
      <c r="S33" s="28" t="s">
        <v>73</v>
      </c>
    </row>
    <row r="34" spans="1:36" s="15" customFormat="1" ht="18" customHeight="1" thickBot="1" x14ac:dyDescent="0.45">
      <c r="A34" s="2"/>
      <c r="B34" s="2"/>
      <c r="C34" s="18" t="s">
        <v>33</v>
      </c>
      <c r="D34" s="39" t="s">
        <v>46</v>
      </c>
      <c r="E34" s="84" t="s">
        <v>65</v>
      </c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6"/>
      <c r="R34" s="19">
        <v>375</v>
      </c>
      <c r="S34" s="27" t="s">
        <v>73</v>
      </c>
      <c r="Z34" s="104" t="s">
        <v>142</v>
      </c>
      <c r="AA34" s="105"/>
      <c r="AB34" s="105"/>
      <c r="AC34" s="105"/>
      <c r="AD34" s="106"/>
    </row>
    <row r="35" spans="1:36" ht="18" customHeight="1" thickBot="1" x14ac:dyDescent="0.45">
      <c r="C35" s="20" t="s">
        <v>33</v>
      </c>
      <c r="D35" s="40" t="s">
        <v>47</v>
      </c>
      <c r="E35" s="94" t="s">
        <v>66</v>
      </c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6"/>
      <c r="R35" s="21">
        <v>345</v>
      </c>
      <c r="S35" s="28" t="s">
        <v>72</v>
      </c>
      <c r="Z35" s="62" t="str">
        <f>C17</f>
        <v>Ref devis et DMP</v>
      </c>
      <c r="AA35" s="62" t="str">
        <f>D17</f>
        <v>Art.</v>
      </c>
      <c r="AB35" s="54" t="str">
        <f>E17</f>
        <v>Designation</v>
      </c>
      <c r="AC35" s="54" t="str">
        <f>R17</f>
        <v>Montant H.T.
en €uro</v>
      </c>
      <c r="AD35" s="54" t="str">
        <f>S17</f>
        <v>Code
 TVA</v>
      </c>
    </row>
    <row r="36" spans="1:36" ht="18" customHeight="1" thickBot="1" x14ac:dyDescent="0.45">
      <c r="A36" s="15"/>
      <c r="B36" s="15"/>
      <c r="C36" s="18" t="s">
        <v>33</v>
      </c>
      <c r="D36" s="39" t="s">
        <v>48</v>
      </c>
      <c r="E36" s="84" t="s">
        <v>67</v>
      </c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6"/>
      <c r="R36" s="19">
        <v>330</v>
      </c>
      <c r="S36" s="27" t="s">
        <v>72</v>
      </c>
      <c r="Z36" s="7" t="s">
        <v>159</v>
      </c>
      <c r="AA36" s="7" t="s">
        <v>160</v>
      </c>
      <c r="AB36" s="7" t="s">
        <v>161</v>
      </c>
      <c r="AC36" s="7" t="s">
        <v>162</v>
      </c>
      <c r="AD36" s="7" t="s">
        <v>163</v>
      </c>
    </row>
    <row r="37" spans="1:36" ht="18" customHeight="1" thickBot="1" x14ac:dyDescent="0.45">
      <c r="C37" s="20" t="s">
        <v>33</v>
      </c>
      <c r="D37" s="40" t="s">
        <v>49</v>
      </c>
      <c r="E37" s="94" t="s">
        <v>68</v>
      </c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6"/>
      <c r="R37" s="21">
        <v>85</v>
      </c>
      <c r="S37" s="28" t="s">
        <v>73</v>
      </c>
      <c r="Z37" s="49"/>
      <c r="AA37" s="49"/>
      <c r="AB37" s="49"/>
      <c r="AC37" s="49"/>
      <c r="AD37" s="49"/>
    </row>
    <row r="38" spans="1:36" ht="18" customHeight="1" thickBot="1" x14ac:dyDescent="0.45">
      <c r="C38" s="18" t="s">
        <v>34</v>
      </c>
      <c r="D38" s="39" t="s">
        <v>50</v>
      </c>
      <c r="E38" s="84" t="s">
        <v>69</v>
      </c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6"/>
      <c r="R38" s="19">
        <v>2150</v>
      </c>
      <c r="S38" s="27" t="s">
        <v>72</v>
      </c>
      <c r="Z38" s="104" t="s">
        <v>143</v>
      </c>
      <c r="AA38" s="105"/>
      <c r="AB38" s="105"/>
      <c r="AE38" s="12"/>
      <c r="AF38" s="12"/>
      <c r="AG38" s="12"/>
      <c r="AH38" s="12"/>
      <c r="AI38" s="12"/>
      <c r="AJ38" s="12"/>
    </row>
    <row r="39" spans="1:36" ht="18" customHeight="1" thickBot="1" x14ac:dyDescent="0.45">
      <c r="C39" s="20" t="s">
        <v>34</v>
      </c>
      <c r="D39" s="40" t="s">
        <v>51</v>
      </c>
      <c r="E39" s="94" t="s">
        <v>70</v>
      </c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6"/>
      <c r="R39" s="21">
        <v>3880</v>
      </c>
      <c r="S39" s="28" t="s">
        <v>72</v>
      </c>
      <c r="Z39" s="62" t="str">
        <f>K44</f>
        <v>Taux de T.V.A</v>
      </c>
      <c r="AA39" s="62" t="str">
        <f>L44</f>
        <v>Montant T.V.A</v>
      </c>
      <c r="AB39" s="62" t="str">
        <f>N44</f>
        <v>T.T.C</v>
      </c>
      <c r="AC39" s="15"/>
      <c r="AD39" s="15"/>
      <c r="AE39" s="12"/>
      <c r="AF39" s="12"/>
      <c r="AG39" s="12"/>
      <c r="AH39" s="12"/>
      <c r="AI39" s="12"/>
      <c r="AJ39" s="12"/>
    </row>
    <row r="40" spans="1:36" ht="18" customHeight="1" thickBot="1" x14ac:dyDescent="0.45">
      <c r="C40" s="18" t="s">
        <v>34</v>
      </c>
      <c r="D40" s="39" t="s">
        <v>52</v>
      </c>
      <c r="E40" s="97" t="s">
        <v>71</v>
      </c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9"/>
      <c r="R40" s="19">
        <v>-1210</v>
      </c>
      <c r="S40" s="27" t="s">
        <v>72</v>
      </c>
      <c r="Z40" s="50" t="s">
        <v>145</v>
      </c>
      <c r="AA40" s="50" t="s">
        <v>146</v>
      </c>
      <c r="AB40" s="50" t="s">
        <v>147</v>
      </c>
      <c r="AE40" s="12"/>
      <c r="AF40" s="12"/>
      <c r="AG40" s="12"/>
      <c r="AH40" s="12"/>
      <c r="AI40" s="12"/>
      <c r="AJ40" s="12"/>
    </row>
    <row r="41" spans="1:36" ht="18" customHeight="1" x14ac:dyDescent="0.4">
      <c r="A41" s="52"/>
      <c r="B41" s="52"/>
      <c r="C41" s="20" t="s">
        <v>137</v>
      </c>
      <c r="D41" s="40" t="s">
        <v>48</v>
      </c>
      <c r="E41" s="94" t="s">
        <v>67</v>
      </c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6"/>
      <c r="R41" s="21">
        <v>330</v>
      </c>
      <c r="S41" s="28" t="s">
        <v>107</v>
      </c>
      <c r="AE41" s="12"/>
      <c r="AF41" s="12"/>
      <c r="AG41" s="12"/>
      <c r="AH41" s="12"/>
      <c r="AI41" s="12"/>
      <c r="AJ41" s="12"/>
    </row>
    <row r="42" spans="1:36" ht="18" customHeight="1" x14ac:dyDescent="0.4">
      <c r="A42"/>
      <c r="B42"/>
      <c r="C42" s="18" t="s">
        <v>137</v>
      </c>
      <c r="D42" s="39" t="s">
        <v>50</v>
      </c>
      <c r="E42" s="84" t="s">
        <v>69</v>
      </c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6"/>
      <c r="R42" s="19">
        <v>2150</v>
      </c>
      <c r="S42" s="27" t="s">
        <v>107</v>
      </c>
      <c r="AE42" s="12"/>
      <c r="AF42" s="12"/>
      <c r="AG42" s="12"/>
      <c r="AH42" s="12"/>
      <c r="AI42" s="12"/>
      <c r="AJ42" s="12"/>
    </row>
    <row r="43" spans="1:36" ht="18" customHeight="1" thickBot="1" x14ac:dyDescent="0.45"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44"/>
      <c r="U43" s="44"/>
      <c r="V43" s="44"/>
      <c r="W43" s="44"/>
      <c r="X43" s="44"/>
      <c r="AE43" s="12"/>
      <c r="AF43" s="12"/>
      <c r="AG43" s="12"/>
      <c r="AH43" s="12"/>
      <c r="AI43" s="12"/>
      <c r="AJ43" s="12"/>
    </row>
    <row r="44" spans="1:36" ht="18" customHeight="1" thickTop="1" thickBot="1" x14ac:dyDescent="0.45">
      <c r="F44" s="154" t="s">
        <v>78</v>
      </c>
      <c r="G44" s="93" t="s">
        <v>79</v>
      </c>
      <c r="H44" s="93"/>
      <c r="I44" s="93" t="s">
        <v>80</v>
      </c>
      <c r="J44" s="93"/>
      <c r="K44" s="154" t="s">
        <v>83</v>
      </c>
      <c r="L44" s="93" t="s">
        <v>81</v>
      </c>
      <c r="M44" s="93"/>
      <c r="N44" s="93" t="s">
        <v>82</v>
      </c>
      <c r="O44" s="93"/>
      <c r="P44" s="46"/>
      <c r="Q44" s="46"/>
      <c r="R44" s="46"/>
      <c r="S44" s="46"/>
      <c r="T44" s="44"/>
      <c r="U44" s="44"/>
      <c r="V44" s="44"/>
      <c r="W44" s="44"/>
      <c r="X44" s="44"/>
      <c r="AC44" s="16"/>
    </row>
    <row r="45" spans="1:36" ht="18" customHeight="1" thickTop="1" thickBot="1" x14ac:dyDescent="0.45">
      <c r="F45" s="155"/>
      <c r="G45" s="93"/>
      <c r="H45" s="93"/>
      <c r="I45" s="93"/>
      <c r="J45" s="93"/>
      <c r="K45" s="155"/>
      <c r="L45" s="93"/>
      <c r="M45" s="93"/>
      <c r="N45" s="93"/>
      <c r="O45" s="93"/>
      <c r="P45" s="46"/>
      <c r="Q45" s="46"/>
      <c r="R45" s="46"/>
      <c r="S45" s="46"/>
      <c r="T45" s="44"/>
      <c r="U45" s="44"/>
      <c r="V45" s="44"/>
      <c r="W45" s="44"/>
      <c r="X45" s="44"/>
      <c r="AB45" s="46" t="s">
        <v>134</v>
      </c>
      <c r="AC45" s="55">
        <f>IFERROR(SUM(MontantsArticlesHT)+AC46,SUM(MontantsArticlesHT))</f>
        <v>100529.709</v>
      </c>
    </row>
    <row r="46" spans="1:36" ht="18" customHeight="1" thickTop="1" x14ac:dyDescent="0.4">
      <c r="F46" s="68">
        <v>0.4</v>
      </c>
      <c r="G46" s="70" t="s">
        <v>32</v>
      </c>
      <c r="H46" s="71"/>
      <c r="I46" s="74">
        <f>IF(TVANExiste="Y",(SUMIFS(MontantsArticlesHT,RefsDevisEtDMP,$G46,CodesTVA,"N")+SUMIFS(MontantsArticlesHT,RefsDevisEtDMP,$G46,CodesTVA,"A + N")+SUMIF(UniqueRefDevisEtDMPs,$G46,TaxeAmeublementN))*$F46,"")</f>
        <v>36772</v>
      </c>
      <c r="J46" s="75"/>
      <c r="K46" s="35" t="str">
        <f>IF(TVANExiste="Y","N = 20 %","")</f>
        <v>N = 20 %</v>
      </c>
      <c r="L46" s="76">
        <f>IF(TVANExiste="Y",$I46*20%,"")</f>
        <v>7354.4000000000005</v>
      </c>
      <c r="M46" s="77"/>
      <c r="N46" s="78">
        <f>SUM($I46:$J47)+SUM($L46:$M47)</f>
        <v>44126.400000000001</v>
      </c>
      <c r="O46" s="79"/>
      <c r="P46" s="46"/>
      <c r="Q46" s="46"/>
      <c r="R46" s="46"/>
      <c r="S46" s="46"/>
      <c r="T46" s="44"/>
      <c r="U46" s="44"/>
      <c r="V46" s="44"/>
      <c r="W46" s="44"/>
      <c r="X46" s="44"/>
      <c r="AB46" s="53" t="str">
        <f>IF(TaxeAmeublementExiste="Y","Taxe d'ameublement (A) 0,18%","")</f>
        <v>Taxe d'ameublement (A) 0,18%</v>
      </c>
      <c r="AC46" s="55">
        <f>IF(TaxeAmeublementExiste="Y",TotalTaxeAmeublement,"")</f>
        <v>164.709</v>
      </c>
      <c r="AF46" s="46"/>
    </row>
    <row r="47" spans="1:36" s="16" customFormat="1" ht="18" customHeight="1" thickBot="1" x14ac:dyDescent="0.45">
      <c r="A47" s="2"/>
      <c r="B47" s="2"/>
      <c r="C47" s="2"/>
      <c r="F47" s="69"/>
      <c r="G47" s="72"/>
      <c r="H47" s="73"/>
      <c r="I47" s="82">
        <f>IF(TVARExiste="Y",(SUMIFS(MontantsArticlesHT,RefsDevisEtDMP,$G46,CodesTVA,"R")+SUMIFS(MontantsArticlesHT,RefsDevisEtDMP,$G46,CodesTVA,"A + R")+SUMIF(UniqueRefDevisEtDMPs,$G46,TaxeAmeublementR))*$F46,"")</f>
        <v>0</v>
      </c>
      <c r="J47" s="83"/>
      <c r="K47" s="37" t="str">
        <f>IF(TVARExiste="Y","R = 10 % *","")</f>
        <v>R = 10 % *</v>
      </c>
      <c r="L47" s="82">
        <f>IF(TVARExiste="Y",$I47*10%,"")</f>
        <v>0</v>
      </c>
      <c r="M47" s="83"/>
      <c r="N47" s="80"/>
      <c r="O47" s="81"/>
      <c r="P47" s="46"/>
      <c r="Q47" s="46"/>
      <c r="R47" s="46"/>
      <c r="S47" s="46"/>
      <c r="T47" s="44"/>
      <c r="U47" s="44"/>
      <c r="V47" s="44"/>
      <c r="W47" s="44"/>
      <c r="X47" s="44"/>
      <c r="AB47" s="53" t="s">
        <v>130</v>
      </c>
      <c r="AC47" s="55">
        <f>MontantTotalTVAN+MontantTotalTVAR</f>
        <v>19827.424600000002</v>
      </c>
      <c r="AD47" s="46"/>
      <c r="AF47" s="46"/>
    </row>
    <row r="48" spans="1:36" s="16" customFormat="1" ht="18" customHeight="1" thickTop="1" x14ac:dyDescent="0.4">
      <c r="A48" s="2"/>
      <c r="B48" s="2"/>
      <c r="C48" s="2"/>
      <c r="F48" s="156">
        <v>0.8</v>
      </c>
      <c r="G48" s="100" t="s">
        <v>33</v>
      </c>
      <c r="H48" s="101"/>
      <c r="I48" s="196">
        <f>IF(TVANExiste="Y",(SUMIFS(MontantsArticlesHT,RefsDevisEtDMP,$G48,CodesTVA,"N")+SUMIFS(MontantsArticlesHT,RefsDevisEtDMP,$G48,CodesTVA,"A + N")+SUMIF(UniqueRefDevisEtDMPs,$G48,TaxeAmeublementN))*$F48,"")</f>
        <v>908.97199999999998</v>
      </c>
      <c r="J48" s="197"/>
      <c r="K48" s="25" t="str">
        <f>IF(TVANExiste="Y","N = 20 %","")</f>
        <v>N = 20 %</v>
      </c>
      <c r="L48" s="196">
        <f>IF(TVANExiste="Y",$I48*20%,"")</f>
        <v>181.7944</v>
      </c>
      <c r="M48" s="197"/>
      <c r="N48" s="89">
        <f>SUM($I48:$J49)+SUM($L48:$M49)</f>
        <v>1090.7664</v>
      </c>
      <c r="O48" s="90"/>
      <c r="P48" s="46"/>
      <c r="Q48" s="46"/>
      <c r="R48" s="46"/>
      <c r="S48" s="46"/>
      <c r="T48" s="44"/>
      <c r="U48" s="44"/>
      <c r="V48" s="44"/>
      <c r="W48" s="44"/>
      <c r="X48" s="44"/>
      <c r="AB48" s="53" t="s">
        <v>104</v>
      </c>
      <c r="AC48" s="55">
        <f>AC45+AC47</f>
        <v>120357.1336</v>
      </c>
      <c r="AE48" s="46"/>
      <c r="AF48" s="46"/>
    </row>
    <row r="49" spans="1:30" s="16" customFormat="1" ht="18" customHeight="1" thickBot="1" x14ac:dyDescent="0.45">
      <c r="A49" s="2"/>
      <c r="B49" s="2"/>
      <c r="C49" s="2"/>
      <c r="F49" s="157"/>
      <c r="G49" s="102"/>
      <c r="H49" s="103"/>
      <c r="I49" s="160">
        <f>IF(TVARExiste="Y",(SUMIFS(MontantsArticlesHT,RefsDevisEtDMP,$G48,CodesTVA,"R")+SUMIFS(MontantsArticlesHT,RefsDevisEtDMP,$G48,CodesTVA,"A + R")+SUMIF(UniqueRefDevisEtDMPs,$G48,TaxeAmeublementR))*$F48,"")</f>
        <v>0</v>
      </c>
      <c r="J49" s="161"/>
      <c r="K49" s="24" t="str">
        <f>IF(TVARExiste="Y","R = 10 % *","")</f>
        <v>R = 10 % *</v>
      </c>
      <c r="L49" s="160">
        <f>IF(TVARExiste="Y",$I49*10%,"")</f>
        <v>0</v>
      </c>
      <c r="M49" s="161"/>
      <c r="N49" s="91"/>
      <c r="O49" s="92"/>
      <c r="P49" s="46"/>
      <c r="Q49" s="46"/>
      <c r="R49" s="46"/>
      <c r="S49" s="46"/>
      <c r="T49" s="44"/>
      <c r="U49" s="44"/>
      <c r="V49" s="44"/>
      <c r="W49" s="44"/>
      <c r="X49" s="44"/>
      <c r="AB49" s="53" t="s">
        <v>109</v>
      </c>
      <c r="AC49" s="55">
        <f>SUM(MontantsTTCAppeles)</f>
        <v>52585.605760000006</v>
      </c>
      <c r="AD49" s="46"/>
    </row>
    <row r="50" spans="1:30" ht="18" customHeight="1" thickTop="1" x14ac:dyDescent="0.4">
      <c r="A50" s="52"/>
      <c r="B50" s="52"/>
      <c r="C50" s="52"/>
      <c r="D50" s="52"/>
      <c r="E50" s="52"/>
      <c r="F50" s="68">
        <v>0.8</v>
      </c>
      <c r="G50" s="70" t="s">
        <v>34</v>
      </c>
      <c r="H50" s="71"/>
      <c r="I50" s="74">
        <f>IF(TVANExiste="Y",(SUMIFS(MontantsArticlesHT,RefsDevisEtDMP,$G50,CodesTVA,"N")+SUMIFS(MontantsArticlesHT,RefsDevisEtDMP,$G50,CodesTVA,"A + N")+SUMIF(UniqueRefDevisEtDMPs,$G50,TaxeAmeublementN))*$F50,"")</f>
        <v>3862.9408000000003</v>
      </c>
      <c r="J50" s="75"/>
      <c r="K50" s="35" t="str">
        <f>IF(TVANExiste="Y","N = 20 %","")</f>
        <v>N = 20 %</v>
      </c>
      <c r="L50" s="76">
        <f>IF(TVANExiste="Y",$I50*20%,"")</f>
        <v>772.58816000000013</v>
      </c>
      <c r="M50" s="77"/>
      <c r="N50" s="78">
        <f>SUM($I50:$J51)+SUM($L50:$M51)</f>
        <v>4635.5289600000006</v>
      </c>
      <c r="O50" s="79"/>
      <c r="P50" s="52"/>
      <c r="Q50" s="52"/>
      <c r="R50" s="52"/>
      <c r="S50" s="52"/>
      <c r="T50" s="44"/>
      <c r="U50" s="44"/>
      <c r="V50" s="44"/>
      <c r="W50" s="44"/>
      <c r="X50" s="44"/>
      <c r="Y50" s="16"/>
      <c r="AA50" s="2"/>
      <c r="AB50" s="2" t="s">
        <v>133</v>
      </c>
      <c r="AC50" s="55">
        <f>AC48-AC49</f>
        <v>67771.527839999995</v>
      </c>
    </row>
    <row r="51" spans="1:30" customFormat="1" ht="18" customHeight="1" thickBot="1" x14ac:dyDescent="0.45">
      <c r="A51" s="52"/>
      <c r="B51" s="52"/>
      <c r="C51" s="52"/>
      <c r="D51" s="52"/>
      <c r="E51" s="52"/>
      <c r="F51" s="69"/>
      <c r="G51" s="72"/>
      <c r="H51" s="73"/>
      <c r="I51" s="82">
        <f>IF(TVARExiste="Y",(SUMIFS(MontantsArticlesHT,RefsDevisEtDMP,$G50,CodesTVA,"R")+SUMIFS(MontantsArticlesHT,RefsDevisEtDMP,$G50,CodesTVA,"A + R")+SUMIF(UniqueRefDevisEtDMPs,$G50,TaxeAmeublementR))*$F50,"")</f>
        <v>0</v>
      </c>
      <c r="J51" s="83"/>
      <c r="K51" s="51" t="str">
        <f>IF(TVARExiste="Y","R = 10 % *","")</f>
        <v>R = 10 % *</v>
      </c>
      <c r="L51" s="82">
        <f>IF(TVARExiste="Y",$I51*10%,"")</f>
        <v>0</v>
      </c>
      <c r="M51" s="83"/>
      <c r="N51" s="80"/>
      <c r="O51" s="81"/>
      <c r="P51" s="52"/>
      <c r="Q51" s="52"/>
      <c r="R51" s="52"/>
      <c r="S51" s="52"/>
      <c r="T51" s="44"/>
      <c r="U51" s="44"/>
      <c r="V51" s="44"/>
      <c r="W51" s="44"/>
      <c r="X51" s="44"/>
      <c r="AB51" s="16"/>
      <c r="AC51" s="2"/>
    </row>
    <row r="52" spans="1:30" customFormat="1" ht="18" customHeight="1" thickTop="1" x14ac:dyDescent="0.4">
      <c r="A52" s="52"/>
      <c r="B52" s="52"/>
      <c r="C52" s="52"/>
      <c r="D52" s="52"/>
      <c r="E52" s="52"/>
      <c r="F52" s="156">
        <v>0.8</v>
      </c>
      <c r="G52" s="100" t="s">
        <v>137</v>
      </c>
      <c r="H52" s="101"/>
      <c r="I52" s="196">
        <f>IF(TVANExiste="Y",(SUMIFS(MontantsArticlesHT,RefsDevisEtDMP,$G52,CodesTVA,"N")+SUMIFS(MontantsArticlesHT,RefsDevisEtDMP,$G52,CodesTVA,"A + N")+SUMIF(UniqueRefDevisEtDMPs,$G52,TaxeAmeublementN))*$F52,"")</f>
        <v>0</v>
      </c>
      <c r="J52" s="197"/>
      <c r="K52" s="25" t="str">
        <f>IF(TVANExiste="Y","N = 20 %","")</f>
        <v>N = 20 %</v>
      </c>
      <c r="L52" s="196">
        <f>IF(TVANExiste="Y",$I52*20%,"")</f>
        <v>0</v>
      </c>
      <c r="M52" s="197"/>
      <c r="N52" s="89">
        <f>SUM($I52:$J53)+SUM($L52:$M53)</f>
        <v>2186.3283200000001</v>
      </c>
      <c r="O52" s="90"/>
      <c r="P52" s="52"/>
      <c r="Q52" s="52"/>
      <c r="R52" s="52"/>
      <c r="S52" s="52"/>
      <c r="T52" s="44"/>
      <c r="U52" s="44"/>
      <c r="V52" s="44"/>
      <c r="W52" s="44"/>
      <c r="X52" s="44"/>
      <c r="AB52" s="53" t="s">
        <v>135</v>
      </c>
      <c r="AC52" s="2" t="str">
        <f>template!$AB$48&amp;" "&amp;TEXT(template!$AC$48,"# ##0,00")&amp;" €"</f>
        <v>Total Devis T.T.C : 120 357,13 €</v>
      </c>
    </row>
    <row r="53" spans="1:30" customFormat="1" ht="18" customHeight="1" thickBot="1" x14ac:dyDescent="0.45">
      <c r="A53" s="52"/>
      <c r="B53" s="52"/>
      <c r="C53" s="52"/>
      <c r="D53" s="52"/>
      <c r="E53" s="52"/>
      <c r="F53" s="157"/>
      <c r="G53" s="102"/>
      <c r="H53" s="103"/>
      <c r="I53" s="160">
        <f>IF(TVARExiste="Y",(SUMIFS(MontantsArticlesHT,RefsDevisEtDMP,$G52,CodesTVA,"R")+SUMIFS(MontantsArticlesHT,RefsDevisEtDMP,$G52,CodesTVA,"A + R")+SUMIF(UniqueRefDevisEtDMPs,$G52,TaxeAmeublementR))*$F52,"")</f>
        <v>1987.5712000000001</v>
      </c>
      <c r="J53" s="161"/>
      <c r="K53" s="24" t="str">
        <f>IF(TVARExiste="Y","R = 10 % *","")</f>
        <v>R = 10 % *</v>
      </c>
      <c r="L53" s="160">
        <f>IF(TVARExiste="Y",$I53*10%,"")</f>
        <v>198.75712000000001</v>
      </c>
      <c r="M53" s="161"/>
      <c r="N53" s="91"/>
      <c r="O53" s="92"/>
      <c r="P53" s="52"/>
      <c r="Q53" s="52"/>
      <c r="R53" s="52"/>
      <c r="S53" s="52"/>
      <c r="T53" s="15"/>
      <c r="U53" s="2"/>
      <c r="V53" s="2"/>
      <c r="W53" s="2"/>
      <c r="X53" s="2"/>
      <c r="Y53" s="2"/>
      <c r="Z53" s="16"/>
      <c r="AA53" s="16"/>
      <c r="AB53" s="16"/>
      <c r="AC53" s="2"/>
      <c r="AD53" s="2"/>
    </row>
    <row r="54" spans="1:30" customFormat="1" ht="18" customHeight="1" thickTop="1" x14ac:dyDescent="0.4">
      <c r="A54" s="57"/>
      <c r="B54" s="57"/>
      <c r="C54" s="57"/>
      <c r="D54" s="57"/>
      <c r="E54" s="57"/>
      <c r="F54" s="68">
        <v>0.2</v>
      </c>
      <c r="G54" s="70" t="s">
        <v>137</v>
      </c>
      <c r="H54" s="71"/>
      <c r="I54" s="74">
        <f>IF(TVANExiste="Y",(SUMIFS(MontantsArticlesHT,RefsDevisEtDMP,$G54,CodesTVA,"N")+SUMIFS(MontantsArticlesHT,RefsDevisEtDMP,$G54,CodesTVA,"A + N")+SUMIF(UniqueRefDevisEtDMPs,$G54,TaxeAmeublementN))*$F54,"")</f>
        <v>0</v>
      </c>
      <c r="J54" s="75"/>
      <c r="K54" s="35" t="str">
        <f>IF(TVANExiste="Y","N = 20 %","")</f>
        <v>N = 20 %</v>
      </c>
      <c r="L54" s="76">
        <f>IF(TVANExiste="Y",$I54*20%,"")</f>
        <v>0</v>
      </c>
      <c r="M54" s="77"/>
      <c r="N54" s="78">
        <f>SUM($I54:$J55)+SUM($L54:$M55)</f>
        <v>546.58208000000002</v>
      </c>
      <c r="O54" s="79"/>
      <c r="P54" s="57"/>
      <c r="Q54" s="57"/>
      <c r="R54" s="57"/>
      <c r="S54" s="57"/>
      <c r="T54" s="15"/>
      <c r="U54" s="2" t="s">
        <v>128</v>
      </c>
      <c r="V54" s="2"/>
      <c r="W54" s="2"/>
      <c r="X54" s="2"/>
      <c r="Y54" s="2"/>
      <c r="Z54" s="16"/>
      <c r="AA54" s="16"/>
      <c r="AB54" s="16"/>
      <c r="AC54" s="2"/>
      <c r="AD54" s="2"/>
    </row>
    <row r="55" spans="1:30" customFormat="1" ht="18" customHeight="1" thickBot="1" x14ac:dyDescent="0.45">
      <c r="A55" s="57"/>
      <c r="B55" s="57"/>
      <c r="C55" s="57"/>
      <c r="D55" s="57"/>
      <c r="E55" s="57"/>
      <c r="F55" s="69"/>
      <c r="G55" s="72"/>
      <c r="H55" s="73"/>
      <c r="I55" s="82">
        <f>IF(TVARExiste="Y",(SUMIFS(MontantsArticlesHT,RefsDevisEtDMP,$G54,CodesTVA,"R")+SUMIFS(MontantsArticlesHT,RefsDevisEtDMP,$G54,CodesTVA,"A + R")+SUMIF(UniqueRefDevisEtDMPs,$G54,TaxeAmeublementR))*$F54,"")</f>
        <v>496.89280000000002</v>
      </c>
      <c r="J55" s="83"/>
      <c r="K55" s="58" t="str">
        <f>IF(TVARExiste="Y","R = 10 % *","")</f>
        <v>R = 10 % *</v>
      </c>
      <c r="L55" s="82">
        <f>IF(TVARExiste="Y",$I55*10%,"")</f>
        <v>49.689280000000004</v>
      </c>
      <c r="M55" s="83"/>
      <c r="N55" s="80"/>
      <c r="O55" s="81"/>
      <c r="P55" s="57"/>
      <c r="Q55" s="57"/>
      <c r="R55" s="57"/>
      <c r="S55" s="57"/>
      <c r="T55" s="15"/>
      <c r="U55" s="59" t="s">
        <v>119</v>
      </c>
      <c r="V55" s="2"/>
      <c r="W55" s="2"/>
      <c r="X55" s="2"/>
      <c r="Y55" s="2"/>
      <c r="Z55" s="16"/>
      <c r="AA55" s="16"/>
      <c r="AB55" s="16"/>
      <c r="AC55" s="2"/>
      <c r="AD55" s="2"/>
    </row>
    <row r="56" spans="1:30" customFormat="1" ht="18" customHeight="1" thickTop="1" x14ac:dyDescent="0.4">
      <c r="A56" s="52"/>
      <c r="B56" s="5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46"/>
      <c r="P56" s="46"/>
      <c r="Q56" s="46"/>
      <c r="R56" s="46"/>
      <c r="S56" s="46"/>
      <c r="U56" s="59" t="s">
        <v>123</v>
      </c>
      <c r="V56" s="2"/>
      <c r="W56" s="2"/>
      <c r="X56" s="2"/>
      <c r="Y56" s="2"/>
      <c r="Z56" s="16"/>
      <c r="AA56" s="16"/>
      <c r="AB56" s="16"/>
      <c r="AC56" s="2"/>
      <c r="AD56" s="2"/>
    </row>
    <row r="57" spans="1:30" customFormat="1" ht="18" customHeight="1" x14ac:dyDescent="0.4">
      <c r="A57" s="52"/>
      <c r="B57" s="52"/>
      <c r="C57" s="23"/>
      <c r="D57" s="2"/>
      <c r="E57" s="2"/>
      <c r="F57" s="2"/>
      <c r="G57" s="2"/>
      <c r="H57" s="206" t="str">
        <f ca="1">CONCATENATE("Montant dû sur facture ",$W$6," : ")</f>
        <v xml:space="preserve">Montant dû sur facture FC-2020572 : </v>
      </c>
      <c r="I57" s="206"/>
      <c r="J57" s="206"/>
      <c r="K57" s="206"/>
      <c r="L57" s="205">
        <f>SUM(MontantsTTCAppeles)</f>
        <v>52585.605760000006</v>
      </c>
      <c r="M57" s="205"/>
      <c r="N57" s="2"/>
      <c r="O57" s="2"/>
      <c r="P57" s="2"/>
      <c r="Q57" s="2"/>
      <c r="R57" s="2"/>
      <c r="S57" s="2"/>
      <c r="U57" s="23" t="s">
        <v>124</v>
      </c>
      <c r="V57" s="23"/>
      <c r="W57" s="23"/>
      <c r="X57" s="23"/>
      <c r="Y57" s="23"/>
      <c r="Z57" s="23"/>
      <c r="AA57" s="23"/>
      <c r="AB57" s="16"/>
      <c r="AC57" s="23"/>
      <c r="AD57" s="23"/>
    </row>
    <row r="58" spans="1:30" customFormat="1" ht="18" customHeight="1" x14ac:dyDescent="0.4">
      <c r="A58" s="2"/>
      <c r="B58" s="2"/>
      <c r="C58" s="2"/>
      <c r="D58" s="2"/>
      <c r="E58" s="2"/>
      <c r="F58" s="2"/>
      <c r="G58" s="2"/>
      <c r="H58" s="206"/>
      <c r="I58" s="206"/>
      <c r="J58" s="206"/>
      <c r="K58" s="206"/>
      <c r="L58" s="205"/>
      <c r="M58" s="205"/>
      <c r="N58" s="2"/>
      <c r="O58" s="2"/>
      <c r="P58" s="2"/>
      <c r="Q58" s="2"/>
      <c r="R58" s="2"/>
      <c r="S58" s="2"/>
      <c r="T58" s="15"/>
      <c r="U58" s="59" t="s">
        <v>125</v>
      </c>
      <c r="V58" s="2"/>
      <c r="W58" s="2"/>
      <c r="X58" s="2"/>
      <c r="Y58" s="2"/>
      <c r="Z58" s="16"/>
      <c r="AA58" s="16"/>
      <c r="AB58" s="16"/>
      <c r="AC58" s="2"/>
      <c r="AD58" s="2"/>
    </row>
    <row r="59" spans="1:30" customFormat="1" ht="18" customHeight="1" x14ac:dyDescent="0.4">
      <c r="A59" s="23"/>
      <c r="B59" s="23"/>
      <c r="C59" s="23"/>
      <c r="D59" s="23"/>
      <c r="E59" s="23"/>
      <c r="F59" s="23"/>
      <c r="G59" s="23"/>
      <c r="H59" s="166" t="str">
        <f>IF(TVANExiste="Y","** dont Total T.V.A (N) 20 % : ","")</f>
        <v xml:space="preserve">** dont Total T.V.A (N) 20 % : </v>
      </c>
      <c r="I59" s="166"/>
      <c r="J59" s="166"/>
      <c r="K59" s="166"/>
      <c r="L59" s="159">
        <f>IF(TVANExiste="Y",SUMIF(TauxTVAAppeles,"N = 20 %",MontantsTVAAppeles),"")</f>
        <v>8308.7825599999996</v>
      </c>
      <c r="M59" s="159"/>
      <c r="N59" s="23"/>
      <c r="O59" s="2"/>
      <c r="P59" s="2"/>
      <c r="Q59" s="2"/>
      <c r="R59" s="2"/>
      <c r="S59" s="2"/>
      <c r="T59" s="15"/>
      <c r="U59" s="60" t="s">
        <v>126</v>
      </c>
      <c r="V59" s="2"/>
      <c r="W59" s="2"/>
      <c r="X59" s="2"/>
      <c r="Y59" s="2"/>
      <c r="Z59" s="16"/>
      <c r="AA59" s="16"/>
      <c r="AB59" s="16"/>
      <c r="AC59" s="2"/>
      <c r="AD59" s="2"/>
    </row>
    <row r="60" spans="1:30" customFormat="1" ht="18" customHeight="1" x14ac:dyDescent="0.4">
      <c r="A60" s="23"/>
      <c r="B60" s="23"/>
      <c r="C60" s="2"/>
      <c r="D60" s="2"/>
      <c r="E60" s="2"/>
      <c r="F60" s="2"/>
      <c r="G60" s="2"/>
      <c r="H60" s="167" t="str">
        <f>IF(TVARExiste="Y","** dont Total T.V.A Réduit (R) 10 % : ","")</f>
        <v xml:space="preserve">** dont Total T.V.A Réduit (R) 10 % : </v>
      </c>
      <c r="I60" s="167"/>
      <c r="J60" s="167"/>
      <c r="K60" s="167"/>
      <c r="L60" s="159">
        <f>IF(TVARExiste="Y",SUMIF(TauxTVAAppeles,"R = 10 % *",MontantsTVAAppeles),"")</f>
        <v>248.44640000000001</v>
      </c>
      <c r="M60" s="159"/>
      <c r="N60" s="2"/>
      <c r="O60" s="2"/>
      <c r="P60" s="2"/>
      <c r="Q60" s="2"/>
      <c r="R60" s="2"/>
      <c r="S60" s="2"/>
      <c r="T60" s="15"/>
      <c r="U60" s="59" t="s">
        <v>127</v>
      </c>
      <c r="V60" s="2"/>
      <c r="W60" s="2"/>
      <c r="X60" s="2"/>
      <c r="Y60" s="2"/>
      <c r="Z60" s="16"/>
      <c r="AA60" s="16"/>
      <c r="AB60" s="16"/>
      <c r="AC60" s="2"/>
      <c r="AD60" s="2"/>
    </row>
    <row r="61" spans="1:30" customFormat="1" ht="18" customHeight="1" x14ac:dyDescent="0.4">
      <c r="A61" s="22"/>
      <c r="B61" s="22"/>
      <c r="C61" s="2"/>
      <c r="D61" s="2"/>
      <c r="E61" s="2"/>
      <c r="F61" s="2"/>
      <c r="G61" s="2"/>
      <c r="H61" s="165" t="str">
        <f>IF(TaxeAmeublementExiste="Y","** dont Taxe d'ameublement (A) 0,18% : ","")</f>
        <v xml:space="preserve">** dont Taxe d'ameublement (A) 0,18% : </v>
      </c>
      <c r="I61" s="165"/>
      <c r="J61" s="165"/>
      <c r="K61" s="165"/>
      <c r="L61" s="158">
        <f>IF(TaxeAmeublementExiste="Y",$F$46*(SUMIF(UniqueRefDevisEtDMPs,$G$46,TaxeAmeublementN)+SUMIF(UniqueRefDevisEtDMPs,$G$46,TaxeAmeublementR))+$F$48*(SUMIF(UniqueRefDevisEtDMPs,$G$48,TaxeAmeublementN)+SUMIF(UniqueRefDevisEtDMPs,$G$48,TaxeAmeublementR))+$F$50*(SUMIF(UniqueRefDevisEtDMPs,$G$50,TaxeAmeublementN)+SUMIF(UniqueRefDevisEtDMPs,$G$50,TaxeAmeublementR))+$F$52*(SUMIF(UniqueRefDevisEtDMPs,$G$52,TaxeAmeublementN)+SUMIF(UniqueRefDevisEtDMPs,$G$52,TaxeAmeublementR)),"")</f>
        <v>11.484</v>
      </c>
      <c r="M61" s="158"/>
      <c r="N61" s="2"/>
      <c r="O61" s="2"/>
      <c r="P61" s="2"/>
      <c r="Q61" s="2"/>
      <c r="R61" s="2"/>
      <c r="S61" s="2"/>
      <c r="T61" s="23"/>
      <c r="U61" s="61" t="s">
        <v>136</v>
      </c>
      <c r="V61" s="23"/>
      <c r="W61" s="23"/>
      <c r="X61" s="23"/>
      <c r="Y61" s="23"/>
      <c r="Z61" s="23"/>
      <c r="AA61" s="23"/>
      <c r="AB61" s="23"/>
      <c r="AC61" s="23"/>
      <c r="AD61" s="23"/>
    </row>
    <row r="62" spans="1:30" customFormat="1" ht="18" customHeight="1" x14ac:dyDescent="0.4">
      <c r="C62" s="46"/>
      <c r="D62" s="46"/>
      <c r="E62" s="46"/>
      <c r="F62" s="46"/>
      <c r="G62" s="46"/>
      <c r="H62" s="48"/>
      <c r="I62" s="48"/>
      <c r="J62" s="48"/>
      <c r="K62" s="48"/>
      <c r="L62" s="47"/>
      <c r="M62" s="47"/>
      <c r="N62" s="46"/>
      <c r="O62" s="46"/>
      <c r="P62" s="46"/>
      <c r="Q62" s="46"/>
      <c r="R62" s="46"/>
      <c r="S62" s="46"/>
      <c r="T62" s="15"/>
      <c r="U62" s="59" t="s">
        <v>141</v>
      </c>
    </row>
    <row r="63" spans="1:30" ht="18" customHeight="1" x14ac:dyDescent="0.4">
      <c r="A63"/>
      <c r="B63"/>
      <c r="C63" s="46"/>
      <c r="D63" s="46"/>
      <c r="E63" s="46"/>
      <c r="F63" s="46"/>
      <c r="G63" s="46"/>
      <c r="H63" s="48"/>
      <c r="I63" s="48"/>
      <c r="J63" s="48"/>
      <c r="K63" s="48"/>
      <c r="L63" s="47"/>
      <c r="M63" s="47"/>
      <c r="N63" s="46"/>
      <c r="O63" s="46"/>
      <c r="P63" s="46"/>
      <c r="Q63" s="46"/>
      <c r="R63" s="46"/>
      <c r="S63" s="46"/>
      <c r="U63" s="59" t="s">
        <v>148</v>
      </c>
      <c r="W63" s="44"/>
    </row>
    <row r="64" spans="1:30" ht="18" customHeight="1" x14ac:dyDescent="0.4">
      <c r="A64"/>
      <c r="B64"/>
      <c r="C64" s="46"/>
      <c r="D64" s="46"/>
      <c r="E64" s="46"/>
      <c r="F64" s="46"/>
      <c r="G64" s="46"/>
      <c r="H64" s="48"/>
      <c r="I64" s="48"/>
      <c r="J64" s="48"/>
      <c r="K64" s="48"/>
      <c r="L64" s="47"/>
      <c r="M64" s="47"/>
      <c r="N64" s="46"/>
      <c r="O64" s="46"/>
      <c r="P64" s="46"/>
      <c r="Q64" s="46"/>
      <c r="R64" s="46"/>
      <c r="S64" s="46"/>
      <c r="U64" s="2" t="s">
        <v>154</v>
      </c>
      <c r="W64" s="44"/>
    </row>
    <row r="65" spans="1:23" ht="18" customHeight="1" x14ac:dyDescent="0.4">
      <c r="A65"/>
      <c r="B65"/>
      <c r="C65" s="46"/>
      <c r="D65" s="46"/>
      <c r="E65" s="46"/>
      <c r="F65" s="46"/>
      <c r="G65" s="46"/>
      <c r="H65" s="48"/>
      <c r="I65" s="48"/>
      <c r="J65" s="48"/>
      <c r="K65" s="48"/>
      <c r="L65" s="47"/>
      <c r="M65" s="47"/>
      <c r="N65" s="46"/>
      <c r="O65" s="46"/>
      <c r="P65" s="46"/>
      <c r="Q65" s="46"/>
      <c r="R65" s="46"/>
      <c r="S65" s="46"/>
      <c r="U65" s="2" t="s">
        <v>155</v>
      </c>
      <c r="W65" s="44"/>
    </row>
    <row r="66" spans="1:23" s="23" customFormat="1" ht="18" customHeight="1" x14ac:dyDescent="0.4">
      <c r="A66"/>
      <c r="B66"/>
      <c r="C66" s="46"/>
      <c r="D66" s="46"/>
      <c r="E66" s="46"/>
      <c r="F66" s="46"/>
      <c r="G66" s="46"/>
      <c r="H66" s="48"/>
      <c r="I66" s="48"/>
      <c r="J66" s="48"/>
      <c r="K66" s="48"/>
      <c r="L66" s="47"/>
      <c r="M66" s="47"/>
      <c r="N66" s="46"/>
      <c r="O66" s="46"/>
      <c r="P66" s="46"/>
      <c r="Q66" s="46"/>
      <c r="R66" s="46"/>
      <c r="S66" s="46"/>
      <c r="U66" s="23" t="s">
        <v>156</v>
      </c>
    </row>
    <row r="67" spans="1:23" s="23" customFormat="1" ht="18" customHeight="1" x14ac:dyDescent="0.4">
      <c r="A67"/>
      <c r="B67"/>
      <c r="C67" s="46"/>
      <c r="D67" s="46"/>
      <c r="E67" s="46"/>
      <c r="F67" s="46"/>
      <c r="G67" s="46"/>
      <c r="H67" s="48"/>
      <c r="I67" s="48"/>
      <c r="J67" s="48"/>
      <c r="K67" s="48"/>
      <c r="L67" s="47"/>
      <c r="M67" s="47"/>
      <c r="N67" s="46"/>
      <c r="O67" s="46"/>
      <c r="P67" s="46"/>
      <c r="Q67" s="46"/>
      <c r="R67" s="46"/>
      <c r="S67" s="46"/>
      <c r="U67" s="23" t="s">
        <v>164</v>
      </c>
    </row>
    <row r="68" spans="1:23" ht="18" customHeight="1" x14ac:dyDescent="0.4">
      <c r="A68"/>
      <c r="B68"/>
      <c r="C68" s="46"/>
      <c r="D68" s="46"/>
      <c r="E68" s="46"/>
      <c r="F68" s="46"/>
      <c r="G68" s="46"/>
      <c r="H68" s="48"/>
      <c r="I68" s="48"/>
      <c r="J68" s="48"/>
      <c r="K68" s="48"/>
      <c r="L68" s="47"/>
      <c r="M68" s="47"/>
      <c r="N68" s="46"/>
      <c r="O68" s="46"/>
      <c r="P68" s="46"/>
      <c r="Q68" s="46"/>
      <c r="R68" s="46"/>
      <c r="S68" s="46"/>
    </row>
    <row r="69" spans="1:23" ht="18" customHeight="1" x14ac:dyDescent="0.4">
      <c r="A69"/>
      <c r="B69"/>
      <c r="C69" s="46"/>
      <c r="D69" s="46"/>
      <c r="E69" s="46"/>
      <c r="F69" s="46"/>
      <c r="G69" s="46"/>
      <c r="H69" s="48"/>
      <c r="I69" s="48"/>
      <c r="J69" s="48"/>
      <c r="K69" s="48"/>
      <c r="L69" s="47"/>
      <c r="M69" s="47"/>
      <c r="N69" s="46"/>
      <c r="O69" s="46"/>
      <c r="P69" s="46"/>
      <c r="Q69" s="46"/>
      <c r="R69" s="46"/>
      <c r="S69" s="46"/>
      <c r="U69" s="44" t="s">
        <v>120</v>
      </c>
      <c r="V69" s="44"/>
    </row>
    <row r="70" spans="1:23" ht="18" customHeight="1" x14ac:dyDescent="0.4">
      <c r="A70"/>
      <c r="B70"/>
      <c r="C70" s="46"/>
      <c r="D70" s="46"/>
      <c r="E70" s="46"/>
      <c r="F70" s="46"/>
      <c r="G70" s="46"/>
      <c r="H70" s="48"/>
      <c r="I70" s="48"/>
      <c r="J70" s="48"/>
      <c r="K70" s="48"/>
      <c r="L70" s="47"/>
      <c r="M70" s="47"/>
      <c r="N70" s="46"/>
      <c r="O70" s="46"/>
      <c r="P70" s="46"/>
      <c r="Q70" s="46"/>
      <c r="R70" s="46"/>
      <c r="S70" s="46"/>
      <c r="U70" s="44"/>
      <c r="V70" s="44" t="s">
        <v>121</v>
      </c>
    </row>
    <row r="71" spans="1:23" ht="18" customHeight="1" x14ac:dyDescent="0.4">
      <c r="A71"/>
      <c r="B71"/>
      <c r="C71" s="46"/>
      <c r="D71" s="46"/>
      <c r="E71" s="46"/>
      <c r="F71" s="46"/>
      <c r="G71" s="46"/>
      <c r="H71" s="48"/>
      <c r="I71" s="48"/>
      <c r="J71" s="48"/>
      <c r="K71" s="48"/>
      <c r="L71" s="47"/>
      <c r="M71" s="47"/>
      <c r="N71" s="46"/>
      <c r="O71" s="46"/>
      <c r="P71" s="46"/>
      <c r="Q71" s="46"/>
      <c r="R71" s="46"/>
      <c r="S71" s="46"/>
      <c r="U71" s="44"/>
      <c r="V71" s="44" t="s">
        <v>122</v>
      </c>
    </row>
    <row r="72" spans="1:23" ht="18" customHeight="1" x14ac:dyDescent="0.4">
      <c r="A72"/>
      <c r="B72"/>
      <c r="C72" s="46"/>
      <c r="D72" s="46"/>
      <c r="E72" s="46"/>
      <c r="F72" s="46"/>
      <c r="G72" s="46"/>
      <c r="H72" s="48"/>
      <c r="I72" s="48"/>
      <c r="J72" s="48"/>
      <c r="K72" s="48"/>
      <c r="L72" s="47"/>
      <c r="M72" s="47"/>
      <c r="N72" s="46"/>
      <c r="O72" s="46"/>
      <c r="P72" s="46"/>
      <c r="Q72" s="46"/>
      <c r="R72" s="46"/>
      <c r="S72" s="46"/>
    </row>
    <row r="73" spans="1:23" ht="18" customHeight="1" x14ac:dyDescent="0.4">
      <c r="A73"/>
      <c r="B73"/>
      <c r="C73" s="46"/>
      <c r="D73" s="46"/>
      <c r="E73" s="46"/>
      <c r="F73" s="46"/>
      <c r="G73" s="46"/>
      <c r="H73" s="48"/>
      <c r="I73" s="48"/>
      <c r="J73" s="48"/>
      <c r="K73" s="48"/>
      <c r="L73" s="47"/>
      <c r="M73" s="47"/>
      <c r="N73" s="46"/>
      <c r="O73" s="46"/>
      <c r="P73" s="46"/>
      <c r="Q73" s="46"/>
      <c r="R73" s="46"/>
      <c r="S73" s="46"/>
    </row>
    <row r="74" spans="1:23" ht="18" customHeight="1" x14ac:dyDescent="0.4">
      <c r="A74"/>
      <c r="B74"/>
      <c r="C74" s="46"/>
      <c r="D74" s="46"/>
      <c r="E74" s="46"/>
      <c r="F74" s="46"/>
      <c r="G74" s="46"/>
      <c r="H74" s="48"/>
      <c r="I74" s="48"/>
      <c r="J74" s="48"/>
      <c r="K74" s="48"/>
      <c r="L74" s="47"/>
      <c r="M74" s="47"/>
      <c r="N74" s="46"/>
      <c r="O74" s="46"/>
      <c r="P74" s="46"/>
      <c r="Q74" s="46"/>
      <c r="R74" s="46"/>
      <c r="S74" s="46"/>
    </row>
    <row r="75" spans="1:23" ht="18" customHeight="1" x14ac:dyDescent="0.4">
      <c r="A75"/>
      <c r="B75"/>
      <c r="C75" s="46"/>
      <c r="D75" s="46"/>
      <c r="E75" s="46"/>
      <c r="F75" s="46"/>
      <c r="G75" s="46"/>
      <c r="H75" s="48"/>
      <c r="I75" s="48"/>
      <c r="J75" s="48"/>
      <c r="K75" s="48"/>
      <c r="L75" s="47"/>
      <c r="M75" s="47"/>
      <c r="N75" s="46"/>
      <c r="O75" s="46"/>
      <c r="P75" s="46"/>
      <c r="Q75" s="46"/>
      <c r="R75" s="46"/>
      <c r="S75" s="46"/>
    </row>
    <row r="76" spans="1:23" ht="18" customHeight="1" x14ac:dyDescent="0.4">
      <c r="A76"/>
      <c r="B76"/>
      <c r="C76" s="46"/>
      <c r="D76" s="46"/>
      <c r="E76" s="46"/>
      <c r="F76" s="46"/>
      <c r="G76" s="46"/>
      <c r="H76" s="48"/>
      <c r="I76" s="48"/>
      <c r="J76" s="48"/>
      <c r="K76" s="48"/>
      <c r="L76" s="47"/>
      <c r="M76" s="47"/>
      <c r="N76" s="46"/>
      <c r="O76" s="46"/>
      <c r="P76" s="46"/>
      <c r="Q76" s="46"/>
      <c r="R76" s="46"/>
      <c r="S76" s="46"/>
    </row>
    <row r="77" spans="1:23" ht="18" customHeight="1" x14ac:dyDescent="0.4">
      <c r="A77"/>
      <c r="B77"/>
      <c r="C77" s="46"/>
      <c r="D77" s="46"/>
      <c r="E77" s="46"/>
      <c r="F77" s="46"/>
      <c r="G77" s="46"/>
      <c r="H77" s="48"/>
      <c r="I77" s="48"/>
      <c r="J77" s="48"/>
      <c r="K77" s="48"/>
      <c r="L77" s="47"/>
      <c r="M77" s="47"/>
      <c r="N77" s="46"/>
      <c r="O77" s="46"/>
      <c r="P77" s="46"/>
      <c r="Q77" s="46"/>
      <c r="R77" s="46"/>
      <c r="S77" s="46"/>
    </row>
    <row r="78" spans="1:23" ht="18" customHeight="1" x14ac:dyDescent="0.4">
      <c r="A78"/>
      <c r="B78"/>
      <c r="C78" s="46"/>
      <c r="D78" s="46"/>
      <c r="E78" s="46"/>
      <c r="F78" s="46"/>
      <c r="G78" s="46"/>
      <c r="H78" s="48"/>
      <c r="I78" s="48"/>
      <c r="J78" s="48"/>
      <c r="K78" s="48"/>
      <c r="L78" s="47"/>
      <c r="M78" s="47"/>
      <c r="N78" s="46"/>
      <c r="O78" s="46"/>
      <c r="P78" s="46"/>
      <c r="Q78" s="46"/>
      <c r="R78" s="46"/>
      <c r="S78" s="46"/>
    </row>
    <row r="79" spans="1:23" ht="18" customHeight="1" x14ac:dyDescent="0.4">
      <c r="A79"/>
      <c r="B79"/>
      <c r="C79" s="46"/>
      <c r="D79" s="46"/>
      <c r="E79" s="46"/>
      <c r="F79" s="46"/>
      <c r="G79" s="46"/>
      <c r="H79" s="48"/>
      <c r="I79" s="48"/>
      <c r="J79" s="48"/>
      <c r="K79" s="48"/>
      <c r="L79" s="47"/>
      <c r="M79" s="47"/>
      <c r="N79" s="46"/>
      <c r="O79" s="46"/>
      <c r="P79" s="46"/>
      <c r="Q79" s="46"/>
      <c r="R79" s="46"/>
      <c r="S79" s="46"/>
    </row>
    <row r="80" spans="1:23" ht="18" customHeight="1" x14ac:dyDescent="0.4">
      <c r="A80"/>
      <c r="B80"/>
      <c r="C80" s="46"/>
      <c r="D80" s="46"/>
      <c r="E80" s="46"/>
      <c r="F80" s="46"/>
      <c r="G80" s="46"/>
      <c r="H80" s="48"/>
      <c r="I80" s="48"/>
      <c r="J80" s="48"/>
      <c r="K80" s="48"/>
      <c r="L80" s="47"/>
      <c r="M80" s="47"/>
      <c r="N80" s="46"/>
      <c r="O80" s="46"/>
      <c r="P80" s="46"/>
      <c r="Q80" s="46"/>
      <c r="R80" s="46"/>
      <c r="S80" s="46"/>
      <c r="V80" s="2" t="s">
        <v>129</v>
      </c>
    </row>
    <row r="81" spans="1:27" ht="18" customHeight="1" x14ac:dyDescent="0.4">
      <c r="A81"/>
      <c r="B81"/>
      <c r="C81" s="46"/>
      <c r="D81" s="46"/>
      <c r="E81" s="46"/>
      <c r="F81" s="46"/>
      <c r="G81" s="46"/>
      <c r="H81" s="48"/>
      <c r="I81" s="48"/>
      <c r="J81" s="48"/>
      <c r="K81" s="48"/>
      <c r="L81" s="47"/>
      <c r="M81" s="47"/>
      <c r="N81" s="46"/>
      <c r="O81" s="46"/>
      <c r="P81" s="46"/>
      <c r="Q81" s="46"/>
      <c r="R81" s="46"/>
      <c r="S81" s="46"/>
      <c r="W81" s="2" t="s">
        <v>121</v>
      </c>
    </row>
    <row r="82" spans="1:27" ht="18" customHeight="1" x14ac:dyDescent="0.4">
      <c r="A82"/>
      <c r="B82"/>
      <c r="C82" s="46"/>
      <c r="D82" s="46"/>
      <c r="E82" s="46"/>
      <c r="F82" s="46"/>
      <c r="G82" s="46"/>
      <c r="H82" s="48"/>
      <c r="I82" s="48"/>
      <c r="J82" s="48"/>
      <c r="K82" s="48"/>
      <c r="L82" s="47"/>
      <c r="M82" s="47"/>
      <c r="N82" s="46"/>
      <c r="O82" s="46"/>
      <c r="P82" s="46"/>
      <c r="Q82" s="46"/>
      <c r="R82" s="46"/>
      <c r="S82" s="46"/>
      <c r="T82" s="23"/>
      <c r="W82" s="2" t="s">
        <v>122</v>
      </c>
    </row>
    <row r="83" spans="1:27" ht="18" customHeight="1" x14ac:dyDescent="0.4">
      <c r="A83"/>
      <c r="B83"/>
      <c r="C83" s="43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83" s="23"/>
      <c r="E83" s="23"/>
      <c r="F83" s="23"/>
      <c r="G83" s="23"/>
      <c r="H83" s="30"/>
      <c r="M83" s="29"/>
      <c r="N83" s="23"/>
      <c r="O83" s="23"/>
    </row>
    <row r="84" spans="1:27" ht="18" customHeight="1" x14ac:dyDescent="0.4">
      <c r="A84"/>
      <c r="B84"/>
      <c r="C84" s="198" t="s">
        <v>85</v>
      </c>
      <c r="D84" s="198"/>
      <c r="E84" s="198"/>
      <c r="F84" s="198"/>
      <c r="G84"/>
      <c r="H84"/>
      <c r="P84" s="168" t="s">
        <v>87</v>
      </c>
      <c r="Q84" s="169"/>
      <c r="R84" s="199">
        <f>R8</f>
        <v>2</v>
      </c>
      <c r="S84" s="200"/>
      <c r="T84" s="23"/>
    </row>
    <row r="85" spans="1:27" ht="18" customHeight="1" x14ac:dyDescent="0.4">
      <c r="A85"/>
      <c r="B85"/>
      <c r="C85" s="198"/>
      <c r="D85" s="198"/>
      <c r="E85" s="198"/>
      <c r="F85" s="198"/>
      <c r="G85"/>
      <c r="H85"/>
      <c r="P85" s="117" t="s">
        <v>88</v>
      </c>
      <c r="Q85" s="118"/>
      <c r="R85" s="203" t="str">
        <f ca="1">R9</f>
        <v>FC-2020572</v>
      </c>
      <c r="S85" s="204"/>
    </row>
    <row r="86" spans="1:27" s="23" customFormat="1" ht="18" customHeight="1" x14ac:dyDescent="0.4">
      <c r="A86"/>
      <c r="B86"/>
      <c r="C86" s="198"/>
      <c r="D86" s="198"/>
      <c r="E86" s="198"/>
      <c r="F86" s="198"/>
      <c r="G86"/>
      <c r="H86"/>
      <c r="I86" s="2"/>
      <c r="J86" s="2"/>
      <c r="K86" s="2"/>
      <c r="L86" s="2"/>
      <c r="M86" s="2"/>
      <c r="N86" s="2"/>
      <c r="O86" s="2"/>
      <c r="P86" s="117"/>
      <c r="Q86" s="118"/>
      <c r="R86" s="203"/>
      <c r="S86" s="204"/>
      <c r="T86" s="15"/>
    </row>
    <row r="87" spans="1:27" ht="18" customHeight="1" x14ac:dyDescent="0.4">
      <c r="C87"/>
      <c r="D87"/>
      <c r="E87"/>
      <c r="F87"/>
      <c r="G87"/>
      <c r="H87"/>
      <c r="P87" s="201"/>
      <c r="Q87" s="202"/>
      <c r="R87" s="199"/>
      <c r="S87" s="200"/>
    </row>
    <row r="88" spans="1:27" s="23" customFormat="1" ht="18" customHeight="1" x14ac:dyDescent="0.4">
      <c r="A88" s="2"/>
      <c r="B88" s="2"/>
      <c r="C88"/>
      <c r="D88"/>
      <c r="E88"/>
      <c r="F88"/>
      <c r="G88"/>
      <c r="H88"/>
      <c r="I88"/>
      <c r="J88"/>
      <c r="K88" s="2"/>
      <c r="L88" s="2"/>
      <c r="M88" s="2"/>
      <c r="N88" s="2"/>
      <c r="O88" s="2"/>
      <c r="P88" s="2"/>
      <c r="Q88" s="2"/>
      <c r="R88" s="2"/>
      <c r="S88" s="2"/>
      <c r="T88" s="15"/>
    </row>
    <row r="89" spans="1:27" x14ac:dyDescent="0.4">
      <c r="A89" s="23"/>
      <c r="B89" s="23"/>
      <c r="C89"/>
      <c r="D89"/>
      <c r="E89"/>
      <c r="F89"/>
      <c r="G89"/>
      <c r="H89"/>
      <c r="I89"/>
      <c r="J89"/>
      <c r="K89" s="23"/>
      <c r="L89" s="23"/>
      <c r="M89" s="23"/>
      <c r="N89" s="23"/>
      <c r="O89" s="23"/>
      <c r="P89" s="23"/>
      <c r="Q89" s="23"/>
      <c r="R89" s="23"/>
      <c r="S89" s="23"/>
    </row>
    <row r="90" spans="1:27" ht="18" thickBot="1" x14ac:dyDescent="0.45">
      <c r="A90"/>
      <c r="B90"/>
      <c r="C90" s="15" t="str">
        <f t="shared" ref="C90:D93" si="0">C12</f>
        <v>Selon devis</v>
      </c>
      <c r="D90" s="87" t="str">
        <f t="shared" si="0"/>
        <v>D-201107-2</v>
      </c>
      <c r="E90" s="87"/>
      <c r="F90" s="88" t="str">
        <f>F12</f>
        <v>du : 28/01/2021</v>
      </c>
      <c r="G90" s="88"/>
      <c r="H90" s="15" t="str">
        <f>H12</f>
        <v>Montant T.T.C : 110 496,42€ T.T.C</v>
      </c>
      <c r="I90" s="15"/>
      <c r="J90" s="15"/>
      <c r="K90"/>
    </row>
    <row r="91" spans="1:27" ht="18" thickBot="1" x14ac:dyDescent="0.45">
      <c r="A91"/>
      <c r="B91"/>
      <c r="C91" s="15" t="str">
        <f t="shared" si="0"/>
        <v>Selon</v>
      </c>
      <c r="D91" s="87" t="str">
        <f t="shared" si="0"/>
        <v>DMP1.201107.02</v>
      </c>
      <c r="E91" s="87"/>
      <c r="F91" s="88" t="str">
        <f>F13</f>
        <v>du : 9/02/2021</v>
      </c>
      <c r="G91" s="88"/>
      <c r="H91" s="15" t="str">
        <f>H13</f>
        <v>Montant T.T.C : 1 363,46€ T.T.C</v>
      </c>
      <c r="I91" s="15"/>
      <c r="J91" s="15"/>
      <c r="K91"/>
      <c r="L91"/>
      <c r="M91"/>
      <c r="N91"/>
      <c r="O91"/>
      <c r="Z91" s="194" t="s">
        <v>144</v>
      </c>
      <c r="AA91" s="195"/>
    </row>
    <row r="92" spans="1:27" ht="18" thickBot="1" x14ac:dyDescent="0.45">
      <c r="A92"/>
      <c r="B92"/>
      <c r="C92" s="15" t="str">
        <f t="shared" si="0"/>
        <v>Selon</v>
      </c>
      <c r="D92" s="87" t="str">
        <f t="shared" si="0"/>
        <v>DMP2.201107.02</v>
      </c>
      <c r="E92" s="87"/>
      <c r="F92" s="88" t="str">
        <f>F14</f>
        <v>du : 9/02/2021</v>
      </c>
      <c r="G92" s="88"/>
      <c r="H92" s="15" t="str">
        <f>H14</f>
        <v>Montant T.T.C : 1 363,46€ T.T.C</v>
      </c>
      <c r="I92" s="15"/>
      <c r="J92" s="15"/>
      <c r="K92"/>
      <c r="L92"/>
      <c r="M92"/>
      <c r="N92"/>
      <c r="O92"/>
      <c r="Z92" s="65" t="str">
        <f>H95</f>
        <v>Montant Appelé</v>
      </c>
      <c r="AA92" s="64" t="str">
        <f>R95</f>
        <v>Restant dû</v>
      </c>
    </row>
    <row r="93" spans="1:27" ht="17.399999999999999" customHeight="1" thickBot="1" x14ac:dyDescent="0.45">
      <c r="A93"/>
      <c r="B93"/>
      <c r="C93" s="57" t="str">
        <f t="shared" si="0"/>
        <v>Selon</v>
      </c>
      <c r="D93" s="87" t="str">
        <f t="shared" si="0"/>
        <v>DMP3.201107.02</v>
      </c>
      <c r="E93" s="87"/>
      <c r="F93" s="88" t="str">
        <f>F15</f>
        <v>du : 9/02/2021</v>
      </c>
      <c r="G93" s="88"/>
      <c r="H93" s="57" t="str">
        <f>H15</f>
        <v>Montant T.T.C : 1 363,46€ T.T.C</v>
      </c>
      <c r="I93" s="57"/>
      <c r="J93" s="57"/>
      <c r="K93"/>
      <c r="L93"/>
      <c r="M93"/>
      <c r="N93"/>
      <c r="O93"/>
      <c r="P93" s="57"/>
      <c r="Q93" s="57"/>
      <c r="R93" s="57"/>
      <c r="S93" s="57"/>
      <c r="Z93" s="66" t="s">
        <v>151</v>
      </c>
      <c r="AA93" s="63" t="s">
        <v>152</v>
      </c>
    </row>
    <row r="94" spans="1:27" ht="17.399999999999999" customHeight="1" x14ac:dyDescent="0.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57"/>
      <c r="S94" s="57"/>
    </row>
    <row r="95" spans="1:27" ht="17.399999999999999" customHeight="1" x14ac:dyDescent="0.4">
      <c r="A95"/>
      <c r="B95"/>
      <c r="C95"/>
      <c r="D95"/>
      <c r="E95"/>
      <c r="F95"/>
      <c r="H95" s="138" t="s">
        <v>91</v>
      </c>
      <c r="I95" s="138"/>
      <c r="J95" s="138" t="s">
        <v>92</v>
      </c>
      <c r="K95" s="138"/>
      <c r="L95" s="138" t="s">
        <v>95</v>
      </c>
      <c r="M95" s="138"/>
      <c r="N95" s="138" t="s">
        <v>93</v>
      </c>
      <c r="O95" s="138"/>
      <c r="P95" s="138"/>
      <c r="Q95" s="138"/>
      <c r="R95" s="210" t="s">
        <v>94</v>
      </c>
      <c r="S95" s="210"/>
    </row>
    <row r="96" spans="1:27" ht="17.399999999999999" customHeight="1" x14ac:dyDescent="0.4">
      <c r="A96"/>
      <c r="B96"/>
      <c r="C96"/>
      <c r="D96"/>
      <c r="E96"/>
      <c r="F96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210"/>
      <c r="S96" s="210"/>
    </row>
    <row r="97" spans="1:19" ht="17.399999999999999" customHeight="1" x14ac:dyDescent="0.4">
      <c r="A97"/>
      <c r="B97"/>
      <c r="C97" s="141" t="s">
        <v>89</v>
      </c>
      <c r="D97" s="142"/>
      <c r="E97" s="145">
        <v>1</v>
      </c>
      <c r="F97" s="145" t="s">
        <v>90</v>
      </c>
      <c r="G97" s="145"/>
      <c r="H97" s="139">
        <v>12000</v>
      </c>
      <c r="I97" s="139"/>
      <c r="J97" s="139">
        <v>30000</v>
      </c>
      <c r="K97" s="139"/>
      <c r="L97" s="207">
        <v>44423</v>
      </c>
      <c r="M97" s="207"/>
      <c r="N97" s="164" t="s">
        <v>96</v>
      </c>
      <c r="O97" s="164"/>
      <c r="P97" s="164"/>
      <c r="Q97" s="164"/>
      <c r="R97" s="139">
        <v>14198.57</v>
      </c>
      <c r="S97" s="139"/>
    </row>
    <row r="98" spans="1:19" ht="17.399999999999999" customHeight="1" x14ac:dyDescent="0.4">
      <c r="A98"/>
      <c r="B98"/>
      <c r="C98" s="143"/>
      <c r="D98" s="144"/>
      <c r="E98" s="145"/>
      <c r="F98" s="145"/>
      <c r="G98" s="145"/>
      <c r="H98" s="139"/>
      <c r="I98" s="139"/>
      <c r="J98" s="139"/>
      <c r="K98" s="139"/>
      <c r="L98" s="207"/>
      <c r="M98" s="207"/>
      <c r="N98" s="164"/>
      <c r="O98" s="164"/>
      <c r="P98" s="164"/>
      <c r="Q98" s="164"/>
      <c r="R98" s="139"/>
      <c r="S98" s="139"/>
    </row>
    <row r="99" spans="1:19" ht="17.399999999999999" customHeight="1" x14ac:dyDescent="0.4">
      <c r="A99"/>
      <c r="B99"/>
      <c r="C99" s="146" t="s">
        <v>89</v>
      </c>
      <c r="D99" s="147"/>
      <c r="E99" s="150">
        <v>2</v>
      </c>
      <c r="F99" s="150" t="s">
        <v>153</v>
      </c>
      <c r="G99" s="150"/>
      <c r="H99" s="140">
        <v>11000</v>
      </c>
      <c r="I99" s="140"/>
      <c r="J99" s="140">
        <v>30000</v>
      </c>
      <c r="K99" s="140"/>
      <c r="L99" s="163">
        <v>44423</v>
      </c>
      <c r="M99" s="163"/>
      <c r="N99" s="211" t="s">
        <v>96</v>
      </c>
      <c r="O99" s="211"/>
      <c r="P99" s="211"/>
      <c r="Q99" s="211"/>
      <c r="R99" s="140">
        <v>14198.57</v>
      </c>
      <c r="S99" s="140"/>
    </row>
    <row r="100" spans="1:19" ht="17.399999999999999" customHeight="1" x14ac:dyDescent="0.4">
      <c r="A100"/>
      <c r="B100"/>
      <c r="C100" s="148"/>
      <c r="D100" s="149"/>
      <c r="E100" s="150"/>
      <c r="F100" s="150"/>
      <c r="G100" s="150"/>
      <c r="H100" s="140"/>
      <c r="I100" s="140"/>
      <c r="J100" s="140"/>
      <c r="K100" s="140"/>
      <c r="L100" s="163"/>
      <c r="M100" s="163"/>
      <c r="N100" s="211"/>
      <c r="O100" s="211"/>
      <c r="P100" s="211"/>
      <c r="Q100" s="211"/>
      <c r="R100" s="140"/>
      <c r="S100" s="140"/>
    </row>
    <row r="101" spans="1:19" x14ac:dyDescent="0.4">
      <c r="A101"/>
      <c r="B101"/>
      <c r="C101" s="141" t="s">
        <v>89</v>
      </c>
      <c r="D101" s="142"/>
      <c r="E101" s="145"/>
      <c r="F101" s="145"/>
      <c r="G101" s="145"/>
      <c r="H101" s="139">
        <f>$L$57</f>
        <v>52585.605760000006</v>
      </c>
      <c r="I101" s="139"/>
      <c r="J101" s="139"/>
      <c r="K101" s="139"/>
      <c r="L101" s="207"/>
      <c r="M101" s="207"/>
      <c r="N101" s="164"/>
      <c r="O101" s="164"/>
      <c r="P101" s="164"/>
      <c r="Q101" s="164"/>
      <c r="R101" s="139"/>
      <c r="S101" s="139"/>
    </row>
    <row r="102" spans="1:19" x14ac:dyDescent="0.4">
      <c r="A102"/>
      <c r="B102"/>
      <c r="C102" s="143"/>
      <c r="D102" s="144"/>
      <c r="E102" s="145"/>
      <c r="F102" s="145"/>
      <c r="G102" s="145"/>
      <c r="H102" s="139"/>
      <c r="I102" s="139"/>
      <c r="J102" s="139"/>
      <c r="K102" s="139"/>
      <c r="L102" s="207"/>
      <c r="M102" s="207"/>
      <c r="N102" s="164"/>
      <c r="O102" s="164"/>
      <c r="P102" s="164"/>
      <c r="Q102" s="164"/>
      <c r="R102" s="139"/>
      <c r="S102" s="139"/>
    </row>
    <row r="103" spans="1:19" x14ac:dyDescent="0.4">
      <c r="A103"/>
      <c r="B103"/>
      <c r="C103"/>
      <c r="D103"/>
      <c r="E103"/>
      <c r="F103"/>
      <c r="G103"/>
      <c r="H103"/>
      <c r="I103"/>
      <c r="J103"/>
      <c r="K103"/>
      <c r="L103"/>
      <c r="Q103"/>
    </row>
    <row r="104" spans="1:19" x14ac:dyDescent="0.4">
      <c r="A104" s="13"/>
      <c r="B104"/>
      <c r="C104"/>
      <c r="D104"/>
      <c r="E104" s="151" t="s">
        <v>110</v>
      </c>
      <c r="F104" s="151"/>
      <c r="G104" s="151"/>
      <c r="H104" s="151"/>
      <c r="I104" s="151"/>
      <c r="J104" s="136">
        <f>SUM(RestantsDusSurFacturesAppeles)</f>
        <v>28397.14</v>
      </c>
      <c r="K104" s="136"/>
      <c r="L104"/>
      <c r="Q104"/>
      <c r="R104"/>
      <c r="S104"/>
    </row>
    <row r="105" spans="1:19" x14ac:dyDescent="0.4">
      <c r="A105"/>
      <c r="B105"/>
      <c r="C105"/>
      <c r="D105"/>
      <c r="E105" s="151"/>
      <c r="F105" s="151"/>
      <c r="G105" s="151"/>
      <c r="H105" s="151"/>
      <c r="I105" s="151"/>
      <c r="J105" s="136"/>
      <c r="K105" s="136"/>
      <c r="L105"/>
      <c r="M105" s="23" t="s">
        <v>97</v>
      </c>
      <c r="Q105"/>
      <c r="R105"/>
      <c r="S105"/>
    </row>
    <row r="106" spans="1:19" x14ac:dyDescent="0.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9" ht="18.600000000000001" x14ac:dyDescent="0.4">
      <c r="A107"/>
      <c r="B107"/>
      <c r="C107"/>
      <c r="D107"/>
      <c r="E107"/>
      <c r="F107"/>
      <c r="G107"/>
      <c r="H107"/>
      <c r="I107" s="42" t="s">
        <v>101</v>
      </c>
      <c r="J107" s="137">
        <f>$AC$48-SUM(MontantsFacturesAppeles)</f>
        <v>44771.527839999995</v>
      </c>
      <c r="K107" s="137"/>
      <c r="L107"/>
      <c r="M107"/>
      <c r="N107"/>
      <c r="O107"/>
      <c r="P107"/>
      <c r="Q107"/>
    </row>
    <row r="108" spans="1:19" x14ac:dyDescent="0.4">
      <c r="A108"/>
      <c r="B108"/>
      <c r="C108"/>
      <c r="L108"/>
      <c r="M108"/>
      <c r="N108"/>
      <c r="O108"/>
      <c r="P108"/>
      <c r="Q108"/>
    </row>
    <row r="109" spans="1:19" x14ac:dyDescent="0.4">
      <c r="A109"/>
      <c r="B109"/>
      <c r="C109"/>
      <c r="E109" s="162" t="s">
        <v>117</v>
      </c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/>
      <c r="Q109"/>
    </row>
    <row r="110" spans="1:19" x14ac:dyDescent="0.4">
      <c r="A110"/>
      <c r="B110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/>
      <c r="Q110"/>
    </row>
    <row r="111" spans="1:19" x14ac:dyDescent="0.4">
      <c r="A111"/>
      <c r="B111"/>
      <c r="C111" s="23"/>
      <c r="D111" s="23"/>
      <c r="E111" s="152" t="s">
        <v>111</v>
      </c>
      <c r="F111" s="152"/>
      <c r="G111" s="152"/>
      <c r="H111" s="152"/>
      <c r="I111" s="152"/>
      <c r="J111" s="152"/>
      <c r="K111" s="152" t="s">
        <v>113</v>
      </c>
      <c r="L111" s="152"/>
      <c r="M111" s="152" t="s">
        <v>115</v>
      </c>
      <c r="N111" s="152"/>
      <c r="O111" s="152"/>
      <c r="P111"/>
      <c r="Q111"/>
    </row>
    <row r="112" spans="1:19" x14ac:dyDescent="0.4">
      <c r="A112"/>
      <c r="B112"/>
      <c r="E112" s="152"/>
      <c r="F112" s="152"/>
      <c r="G112" s="152"/>
      <c r="H112" s="152"/>
      <c r="I112" s="152"/>
      <c r="J112" s="152"/>
      <c r="K112" s="152"/>
      <c r="L112" s="152"/>
      <c r="M112" s="152"/>
      <c r="N112" s="152"/>
      <c r="O112" s="152"/>
      <c r="P112"/>
      <c r="Q112"/>
    </row>
    <row r="113" spans="1:19" x14ac:dyDescent="0.4">
      <c r="A113"/>
      <c r="B113"/>
      <c r="C113" s="23"/>
      <c r="D113" s="23"/>
      <c r="E113" s="153" t="s">
        <v>112</v>
      </c>
      <c r="F113" s="153"/>
      <c r="G113" s="153"/>
      <c r="H113" s="153"/>
      <c r="I113" s="153"/>
      <c r="J113" s="153"/>
      <c r="K113" s="153" t="s">
        <v>114</v>
      </c>
      <c r="L113" s="153"/>
      <c r="M113" s="153" t="s">
        <v>116</v>
      </c>
      <c r="N113" s="153"/>
      <c r="O113" s="153"/>
      <c r="P113"/>
      <c r="Q113"/>
    </row>
    <row r="114" spans="1:19" x14ac:dyDescent="0.4">
      <c r="A114"/>
      <c r="B114"/>
      <c r="C114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/>
      <c r="Q114"/>
      <c r="R114"/>
      <c r="S114"/>
    </row>
    <row r="115" spans="1:19" x14ac:dyDescent="0.4">
      <c r="A115"/>
      <c r="B115"/>
      <c r="C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4">
      <c r="A116"/>
      <c r="B116"/>
      <c r="C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4">
      <c r="A117"/>
      <c r="B117"/>
      <c r="C117" s="52"/>
      <c r="R117"/>
      <c r="S117"/>
    </row>
    <row r="118" spans="1:19" x14ac:dyDescent="0.4">
      <c r="A118"/>
      <c r="B118"/>
      <c r="C118" s="52"/>
      <c r="D118" s="23"/>
      <c r="E118" s="23"/>
      <c r="F118" s="23"/>
      <c r="G118" s="23"/>
    </row>
    <row r="119" spans="1:19" x14ac:dyDescent="0.4">
      <c r="C119" s="52"/>
      <c r="D119" s="23"/>
      <c r="E119" s="23"/>
      <c r="F119" s="23"/>
      <c r="G119" s="23"/>
    </row>
    <row r="120" spans="1:19" x14ac:dyDescent="0.4">
      <c r="C120" s="23"/>
      <c r="D120" s="23"/>
      <c r="E120" s="23"/>
      <c r="F120" s="23"/>
      <c r="G120" s="23"/>
    </row>
    <row r="121" spans="1:19" x14ac:dyDescent="0.4">
      <c r="A121" s="23"/>
      <c r="B121" s="23"/>
      <c r="C121" s="23"/>
      <c r="D121" s="23"/>
      <c r="E121" s="23"/>
      <c r="F121" s="23"/>
    </row>
    <row r="122" spans="1:19" x14ac:dyDescent="0.4">
      <c r="C122" s="23"/>
      <c r="D122" s="23"/>
      <c r="E122" s="23"/>
      <c r="F122" s="23"/>
    </row>
    <row r="123" spans="1:19" x14ac:dyDescent="0.4">
      <c r="A123" s="23"/>
      <c r="B123" s="23"/>
      <c r="C123" s="23"/>
      <c r="D123" s="23"/>
      <c r="E123" s="23"/>
      <c r="F123" s="23"/>
    </row>
    <row r="124" spans="1:19" x14ac:dyDescent="0.4">
      <c r="C124" s="23"/>
      <c r="D124" s="23"/>
      <c r="E124" s="23"/>
      <c r="F124" s="23"/>
    </row>
    <row r="125" spans="1:19" x14ac:dyDescent="0.4">
      <c r="C125" s="23"/>
      <c r="D125" s="23"/>
      <c r="E125" s="23"/>
      <c r="F125" s="23"/>
    </row>
    <row r="126" spans="1:19" x14ac:dyDescent="0.4">
      <c r="C126" s="23"/>
      <c r="D126" s="23"/>
      <c r="E126" s="23"/>
      <c r="F126" s="23"/>
    </row>
  </sheetData>
  <mergeCells count="174">
    <mergeCell ref="H101:I102"/>
    <mergeCell ref="J101:K102"/>
    <mergeCell ref="L101:M102"/>
    <mergeCell ref="N101:Q102"/>
    <mergeCell ref="R101:S102"/>
    <mergeCell ref="W7:W8"/>
    <mergeCell ref="X7:X8"/>
    <mergeCell ref="I46:J46"/>
    <mergeCell ref="I47:J47"/>
    <mergeCell ref="L97:M98"/>
    <mergeCell ref="R95:S96"/>
    <mergeCell ref="R97:S98"/>
    <mergeCell ref="R99:S100"/>
    <mergeCell ref="L95:M96"/>
    <mergeCell ref="N95:Q96"/>
    <mergeCell ref="N99:Q100"/>
    <mergeCell ref="I49:J49"/>
    <mergeCell ref="L49:M49"/>
    <mergeCell ref="I48:J48"/>
    <mergeCell ref="L48:M48"/>
    <mergeCell ref="L46:M46"/>
    <mergeCell ref="L47:M47"/>
    <mergeCell ref="F13:G13"/>
    <mergeCell ref="Z21:AB21"/>
    <mergeCell ref="R10:S10"/>
    <mergeCell ref="Z91:AA91"/>
    <mergeCell ref="F50:F51"/>
    <mergeCell ref="G50:H51"/>
    <mergeCell ref="I50:J50"/>
    <mergeCell ref="L50:M50"/>
    <mergeCell ref="N50:O51"/>
    <mergeCell ref="I52:J52"/>
    <mergeCell ref="L52:M52"/>
    <mergeCell ref="L51:M51"/>
    <mergeCell ref="C84:F86"/>
    <mergeCell ref="R84:S84"/>
    <mergeCell ref="P85:Q87"/>
    <mergeCell ref="R85:S87"/>
    <mergeCell ref="L57:M58"/>
    <mergeCell ref="H57:K58"/>
    <mergeCell ref="I51:J51"/>
    <mergeCell ref="Z38:AB38"/>
    <mergeCell ref="Z5:AA5"/>
    <mergeCell ref="Z10:AA10"/>
    <mergeCell ref="Z15:AA15"/>
    <mergeCell ref="K8:M8"/>
    <mergeCell ref="K9:M9"/>
    <mergeCell ref="P8:Q8"/>
    <mergeCell ref="H9:J9"/>
    <mergeCell ref="H10:J10"/>
    <mergeCell ref="K10:M10"/>
    <mergeCell ref="P9:Q9"/>
    <mergeCell ref="P10:Q10"/>
    <mergeCell ref="R8:S8"/>
    <mergeCell ref="R9:S9"/>
    <mergeCell ref="H8:J8"/>
    <mergeCell ref="C17:C19"/>
    <mergeCell ref="D17:D19"/>
    <mergeCell ref="E17:Q19"/>
    <mergeCell ref="R17:R19"/>
    <mergeCell ref="S17:S19"/>
    <mergeCell ref="E38:Q38"/>
    <mergeCell ref="E33:Q33"/>
    <mergeCell ref="N44:O45"/>
    <mergeCell ref="D12:E12"/>
    <mergeCell ref="D13:E13"/>
    <mergeCell ref="E37:Q37"/>
    <mergeCell ref="K44:K45"/>
    <mergeCell ref="E27:Q27"/>
    <mergeCell ref="E28:Q28"/>
    <mergeCell ref="E29:Q29"/>
    <mergeCell ref="E30:Q30"/>
    <mergeCell ref="E31:Q31"/>
    <mergeCell ref="E32:Q32"/>
    <mergeCell ref="E34:Q34"/>
    <mergeCell ref="E35:Q35"/>
    <mergeCell ref="E36:Q36"/>
    <mergeCell ref="D14:E14"/>
    <mergeCell ref="E41:Q41"/>
    <mergeCell ref="F12:G12"/>
    <mergeCell ref="E111:J112"/>
    <mergeCell ref="E113:J114"/>
    <mergeCell ref="M111:O112"/>
    <mergeCell ref="M113:O114"/>
    <mergeCell ref="F44:F45"/>
    <mergeCell ref="F46:F47"/>
    <mergeCell ref="F48:F49"/>
    <mergeCell ref="F52:F53"/>
    <mergeCell ref="L61:M61"/>
    <mergeCell ref="L60:M60"/>
    <mergeCell ref="G52:H53"/>
    <mergeCell ref="N52:O53"/>
    <mergeCell ref="I53:J53"/>
    <mergeCell ref="L53:M53"/>
    <mergeCell ref="K113:L114"/>
    <mergeCell ref="K111:L112"/>
    <mergeCell ref="E109:O110"/>
    <mergeCell ref="L99:M100"/>
    <mergeCell ref="N97:Q98"/>
    <mergeCell ref="H61:K61"/>
    <mergeCell ref="H59:K59"/>
    <mergeCell ref="L59:M59"/>
    <mergeCell ref="H60:K60"/>
    <mergeCell ref="P84:Q84"/>
    <mergeCell ref="J104:K105"/>
    <mergeCell ref="J107:K107"/>
    <mergeCell ref="F90:G90"/>
    <mergeCell ref="F91:G91"/>
    <mergeCell ref="F92:G92"/>
    <mergeCell ref="D91:E91"/>
    <mergeCell ref="D92:E92"/>
    <mergeCell ref="H95:I96"/>
    <mergeCell ref="H97:I98"/>
    <mergeCell ref="H99:I100"/>
    <mergeCell ref="C97:D98"/>
    <mergeCell ref="E97:E98"/>
    <mergeCell ref="C99:D100"/>
    <mergeCell ref="E99:E100"/>
    <mergeCell ref="J97:K98"/>
    <mergeCell ref="D90:E90"/>
    <mergeCell ref="E104:I105"/>
    <mergeCell ref="C101:D102"/>
    <mergeCell ref="J95:K96"/>
    <mergeCell ref="J99:K100"/>
    <mergeCell ref="F97:G98"/>
    <mergeCell ref="F99:G100"/>
    <mergeCell ref="E101:E102"/>
    <mergeCell ref="F101:G102"/>
    <mergeCell ref="Z34:AD34"/>
    <mergeCell ref="Z25:AB26"/>
    <mergeCell ref="H1:J2"/>
    <mergeCell ref="P6:Q7"/>
    <mergeCell ref="R6:S7"/>
    <mergeCell ref="K1:M2"/>
    <mergeCell ref="K3:M4"/>
    <mergeCell ref="H3:J4"/>
    <mergeCell ref="H5:J5"/>
    <mergeCell ref="H6:J6"/>
    <mergeCell ref="H7:J7"/>
    <mergeCell ref="K5:M5"/>
    <mergeCell ref="K6:M6"/>
    <mergeCell ref="K7:M7"/>
    <mergeCell ref="R5:S5"/>
    <mergeCell ref="P5:Q5"/>
    <mergeCell ref="R1:S3"/>
    <mergeCell ref="D93:E93"/>
    <mergeCell ref="F93:G93"/>
    <mergeCell ref="N48:O49"/>
    <mergeCell ref="N46:O47"/>
    <mergeCell ref="F14:G14"/>
    <mergeCell ref="G44:H45"/>
    <mergeCell ref="I44:J45"/>
    <mergeCell ref="E39:Q39"/>
    <mergeCell ref="E40:Q40"/>
    <mergeCell ref="L44:M45"/>
    <mergeCell ref="E20:Q20"/>
    <mergeCell ref="E21:Q21"/>
    <mergeCell ref="E22:Q22"/>
    <mergeCell ref="E23:Q23"/>
    <mergeCell ref="E24:Q24"/>
    <mergeCell ref="E25:Q25"/>
    <mergeCell ref="E26:Q26"/>
    <mergeCell ref="G46:H47"/>
    <mergeCell ref="G48:H49"/>
    <mergeCell ref="F54:F55"/>
    <mergeCell ref="G54:H55"/>
    <mergeCell ref="I54:J54"/>
    <mergeCell ref="L54:M54"/>
    <mergeCell ref="N54:O55"/>
    <mergeCell ref="I55:J55"/>
    <mergeCell ref="L55:M55"/>
    <mergeCell ref="E42:Q42"/>
    <mergeCell ref="D15:E15"/>
    <mergeCell ref="F15:G15"/>
  </mergeCells>
  <phoneticPr fontId="3" type="noConversion"/>
  <dataValidations count="5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S20:S42" xr:uid="{E556C3C2-862E-4B6F-8359-2BFDCD5B99E1}">
      <formula1>"N,R,A + N,A + R"</formula1>
    </dataValidation>
    <dataValidation type="list" allowBlank="1" showInputMessage="1" showErrorMessage="1" sqref="C20:C42" xr:uid="{2A310F13-4DE6-4F30-9261-8C3F37172DDD}">
      <formula1>DevisEtDMPs</formula1>
    </dataValidation>
    <dataValidation type="list" allowBlank="1" showInputMessage="1" showErrorMessage="1" sqref="C12:C15" xr:uid="{98BC9BBB-C347-400D-BB65-0418E5F6C1DF}">
      <formula1>"Selon devis,Selon"</formula1>
    </dataValidation>
  </dataValidations>
  <hyperlinks>
    <hyperlink ref="K10" r:id="rId1" xr:uid="{44F94CB6-4857-4CCE-AD44-8AEBD2871060}"/>
  </hyperlinks>
  <pageMargins left="3.937007874015748E-2" right="3.937007874015748E-2" top="0.19685039370078741" bottom="0.39370078740157483" header="3.937007874015748E-2" footer="3.937007874015748E-2"/>
  <pageSetup paperSize="9" scale="75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2" manualBreakCount="2">
    <brk id="57" max="16383" man="1"/>
    <brk id="79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/>
  <dimension ref="A1:I15"/>
  <sheetViews>
    <sheetView workbookViewId="0">
      <selection activeCell="A3" sqref="A3:AE3"/>
    </sheetView>
  </sheetViews>
  <sheetFormatPr baseColWidth="10" defaultRowHeight="14.4" x14ac:dyDescent="0.3"/>
  <sheetData>
    <row r="1" spans="1:9" s="1" customFormat="1" ht="28.8" x14ac:dyDescent="0.3">
      <c r="A1" s="1" t="s">
        <v>17</v>
      </c>
    </row>
    <row r="2" spans="1:9" x14ac:dyDescent="0.3">
      <c r="A2" t="s">
        <v>18</v>
      </c>
      <c r="B2">
        <v>571</v>
      </c>
    </row>
    <row r="4" spans="1:9" x14ac:dyDescent="0.3">
      <c r="E4">
        <v>10000</v>
      </c>
      <c r="H4">
        <v>10000</v>
      </c>
    </row>
    <row r="6" spans="1:9" x14ac:dyDescent="0.3">
      <c r="D6" t="s">
        <v>74</v>
      </c>
      <c r="E6">
        <f>10000*0.18%</f>
        <v>18</v>
      </c>
      <c r="G6" t="s">
        <v>74</v>
      </c>
      <c r="H6">
        <f>10000*0.18%</f>
        <v>18</v>
      </c>
    </row>
    <row r="7" spans="1:9" x14ac:dyDescent="0.3">
      <c r="D7" t="s">
        <v>73</v>
      </c>
      <c r="E7">
        <f>E4*0.2</f>
        <v>2000</v>
      </c>
      <c r="H7">
        <f>H4+H6</f>
        <v>10018</v>
      </c>
      <c r="I7" t="s">
        <v>98</v>
      </c>
    </row>
    <row r="8" spans="1:9" x14ac:dyDescent="0.3">
      <c r="G8" t="s">
        <v>73</v>
      </c>
      <c r="H8">
        <f>H7*0.2</f>
        <v>2003.6000000000001</v>
      </c>
    </row>
    <row r="10" spans="1:9" x14ac:dyDescent="0.3">
      <c r="E10">
        <f>SUM(E4:E7)</f>
        <v>12018</v>
      </c>
      <c r="H10">
        <f>SUM(H7:H8)</f>
        <v>12021.6</v>
      </c>
    </row>
    <row r="13" spans="1:9" x14ac:dyDescent="0.3">
      <c r="G13">
        <v>100</v>
      </c>
    </row>
    <row r="14" spans="1:9" x14ac:dyDescent="0.3">
      <c r="E14" s="14">
        <v>0.02</v>
      </c>
      <c r="F14" t="s">
        <v>99</v>
      </c>
      <c r="G14">
        <f>100*E14</f>
        <v>2</v>
      </c>
      <c r="H14">
        <f>G13+G14</f>
        <v>102</v>
      </c>
    </row>
    <row r="15" spans="1:9" x14ac:dyDescent="0.3">
      <c r="E15" s="14">
        <v>0.03</v>
      </c>
      <c r="F15" t="s">
        <v>100</v>
      </c>
      <c r="G15">
        <f>100*E15</f>
        <v>3</v>
      </c>
      <c r="H15">
        <f>G14+G15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27</vt:i4>
      </vt:variant>
    </vt:vector>
  </HeadingPairs>
  <TitlesOfParts>
    <vt:vector size="29" baseType="lpstr">
      <vt:lpstr>template</vt:lpstr>
      <vt:lpstr>informations enregistrées</vt:lpstr>
      <vt:lpstr>ArticlesListingHeader</vt:lpstr>
      <vt:lpstr>ClientDetails</vt:lpstr>
      <vt:lpstr>CodesTVA</vt:lpstr>
      <vt:lpstr>DevisEtDMPRecap</vt:lpstr>
      <vt:lpstr>DevisEtDMPs</vt:lpstr>
      <vt:lpstr>template!Impression_des_titres</vt:lpstr>
      <vt:lpstr>InvoiceDetails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TotalTTCFacture</vt:lpstr>
      <vt:lpstr>TVANExiste</vt:lpstr>
      <vt:lpstr>TVARExiste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2021-04-09T13:24:53Z</cp:lastPrinted>
  <dcterms:created xsi:type="dcterms:W3CDTF">2021-03-09T16:11:11Z</dcterms:created>
  <dcterms:modified xsi:type="dcterms:W3CDTF">2021-04-10T13:45:25Z</dcterms:modified>
</cp:coreProperties>
</file>